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jay.amrite/Documents/AI Course/Capstone/Black-Box functions/"/>
    </mc:Choice>
  </mc:AlternateContent>
  <xr:revisionPtr revIDLastSave="0" documentId="13_ncr:1_{7107CD8A-3DB2-D141-B6E4-BC8374FD4058}" xr6:coauthVersionLast="47" xr6:coauthVersionMax="47" xr10:uidLastSave="{00000000-0000-0000-0000-000000000000}"/>
  <bookViews>
    <workbookView xWindow="0" yWindow="660" windowWidth="30240" windowHeight="18980" activeTab="8" xr2:uid="{1B3230BD-54F5-FB4E-8E48-D9080F8C7841}"/>
  </bookViews>
  <sheets>
    <sheet name="Legend" sheetId="2" r:id="rId1"/>
    <sheet name="Function 1" sheetId="1" r:id="rId2"/>
    <sheet name="Function 2" sheetId="3" r:id="rId3"/>
    <sheet name="Function 3" sheetId="4" r:id="rId4"/>
    <sheet name="Function 4" sheetId="5" r:id="rId5"/>
    <sheet name="Function 5" sheetId="6" r:id="rId6"/>
    <sheet name="Function 6" sheetId="7" r:id="rId7"/>
    <sheet name="Function 7" sheetId="8" r:id="rId8"/>
    <sheet name="Function 8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9" l="1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N4" i="9"/>
  <c r="N5" i="9" s="1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M4" i="9"/>
  <c r="L4" i="9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L4" i="8"/>
  <c r="L5" i="8" s="1"/>
  <c r="L6" i="8" s="1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K4" i="8"/>
  <c r="J4" i="8"/>
  <c r="M4" i="8" s="1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K4" i="7"/>
  <c r="K5" i="7" s="1"/>
  <c r="K6" i="7" s="1"/>
  <c r="K7" i="7" s="1"/>
  <c r="K8" i="7" s="1"/>
  <c r="K9" i="7" s="1"/>
  <c r="K10" i="7" s="1"/>
  <c r="K11" i="7" s="1"/>
  <c r="K12" i="7" s="1"/>
  <c r="K13" i="7" s="1"/>
  <c r="K14" i="7" s="1"/>
  <c r="K15" i="7" s="1"/>
  <c r="K16" i="7" s="1"/>
  <c r="K17" i="7" s="1"/>
  <c r="K18" i="7" s="1"/>
  <c r="K19" i="7" s="1"/>
  <c r="K20" i="7" s="1"/>
  <c r="K21" i="7" s="1"/>
  <c r="K22" i="7" s="1"/>
  <c r="J4" i="7"/>
  <c r="I4" i="7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J4" i="6"/>
  <c r="J5" i="6" s="1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I4" i="6"/>
  <c r="H4" i="6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J4" i="5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I4" i="5"/>
  <c r="H4" i="5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I4" i="4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H4" i="4"/>
  <c r="G4" i="4"/>
  <c r="H5" i="4" s="1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F5" i="3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G4" i="3"/>
  <c r="F4" i="3"/>
  <c r="H4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5" i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G4" i="1"/>
  <c r="F4" i="1"/>
  <c r="F5" i="1" s="1"/>
  <c r="O4" i="9" l="1"/>
  <c r="R5" i="9"/>
  <c r="M5" i="9"/>
  <c r="L5" i="9"/>
  <c r="P5" i="8"/>
  <c r="K5" i="8"/>
  <c r="J5" i="8"/>
  <c r="L4" i="7"/>
  <c r="J5" i="7"/>
  <c r="O5" i="7"/>
  <c r="I5" i="7"/>
  <c r="N5" i="6"/>
  <c r="I5" i="6"/>
  <c r="K4" i="6"/>
  <c r="H5" i="6"/>
  <c r="N5" i="5"/>
  <c r="I5" i="5"/>
  <c r="H5" i="5"/>
  <c r="K4" i="5"/>
  <c r="G5" i="4"/>
  <c r="M5" i="4"/>
  <c r="J4" i="4"/>
  <c r="I4" i="3"/>
  <c r="L5" i="3"/>
  <c r="G5" i="3"/>
  <c r="G6" i="3"/>
  <c r="L6" i="3"/>
  <c r="F6" i="3"/>
  <c r="I5" i="3"/>
  <c r="G6" i="1"/>
  <c r="I5" i="1"/>
  <c r="L6" i="1"/>
  <c r="F6" i="1"/>
  <c r="I4" i="1"/>
  <c r="G5" i="1"/>
  <c r="L5" i="1"/>
  <c r="O5" i="9" l="1"/>
  <c r="L6" i="9"/>
  <c r="M6" i="9"/>
  <c r="R6" i="9"/>
  <c r="M5" i="8"/>
  <c r="K6" i="8"/>
  <c r="P6" i="8"/>
  <c r="J6" i="8"/>
  <c r="L5" i="7"/>
  <c r="J6" i="7"/>
  <c r="I6" i="7"/>
  <c r="O6" i="7"/>
  <c r="K5" i="6"/>
  <c r="H6" i="6"/>
  <c r="N6" i="6"/>
  <c r="I6" i="6"/>
  <c r="K5" i="5"/>
  <c r="H6" i="5"/>
  <c r="I6" i="5"/>
  <c r="N6" i="5"/>
  <c r="J5" i="4"/>
  <c r="G6" i="4"/>
  <c r="H6" i="4"/>
  <c r="M6" i="4"/>
  <c r="L7" i="3"/>
  <c r="I6" i="3"/>
  <c r="F7" i="3"/>
  <c r="G7" i="3"/>
  <c r="G7" i="1"/>
  <c r="L7" i="1"/>
  <c r="I6" i="1"/>
  <c r="F7" i="1"/>
  <c r="R7" i="9" l="1"/>
  <c r="O6" i="9"/>
  <c r="L7" i="9"/>
  <c r="M7" i="9"/>
  <c r="J7" i="8"/>
  <c r="K7" i="8"/>
  <c r="M6" i="8"/>
  <c r="P7" i="8"/>
  <c r="L6" i="7"/>
  <c r="J7" i="7"/>
  <c r="O7" i="7"/>
  <c r="I7" i="7"/>
  <c r="K6" i="6"/>
  <c r="N7" i="6"/>
  <c r="I7" i="6"/>
  <c r="H7" i="6"/>
  <c r="N7" i="5"/>
  <c r="K6" i="5"/>
  <c r="H7" i="5"/>
  <c r="I7" i="5"/>
  <c r="J6" i="4"/>
  <c r="G7" i="4"/>
  <c r="H7" i="4"/>
  <c r="M7" i="4"/>
  <c r="I7" i="3"/>
  <c r="F8" i="3"/>
  <c r="G8" i="3"/>
  <c r="L8" i="3"/>
  <c r="G8" i="1"/>
  <c r="L8" i="1"/>
  <c r="I7" i="1"/>
  <c r="F8" i="1"/>
  <c r="O7" i="9" l="1"/>
  <c r="L8" i="9"/>
  <c r="M8" i="9"/>
  <c r="R8" i="9"/>
  <c r="P8" i="8"/>
  <c r="M7" i="8"/>
  <c r="J8" i="8"/>
  <c r="K8" i="8"/>
  <c r="I8" i="7"/>
  <c r="J8" i="7"/>
  <c r="O8" i="7"/>
  <c r="L7" i="7"/>
  <c r="H8" i="6"/>
  <c r="I8" i="6"/>
  <c r="K7" i="6"/>
  <c r="N8" i="6"/>
  <c r="K7" i="5"/>
  <c r="H8" i="5"/>
  <c r="I8" i="5"/>
  <c r="N8" i="5"/>
  <c r="J7" i="4"/>
  <c r="G8" i="4"/>
  <c r="H8" i="4"/>
  <c r="M8" i="4"/>
  <c r="I8" i="3"/>
  <c r="L9" i="3"/>
  <c r="G9" i="3"/>
  <c r="F9" i="3"/>
  <c r="L9" i="1"/>
  <c r="G9" i="1"/>
  <c r="I8" i="1"/>
  <c r="F9" i="1"/>
  <c r="O8" i="9" l="1"/>
  <c r="L9" i="9"/>
  <c r="M9" i="9"/>
  <c r="R9" i="9"/>
  <c r="M8" i="8"/>
  <c r="P9" i="8"/>
  <c r="J9" i="8"/>
  <c r="K9" i="8"/>
  <c r="L8" i="7"/>
  <c r="O9" i="7"/>
  <c r="I9" i="7"/>
  <c r="J9" i="7"/>
  <c r="K8" i="6"/>
  <c r="H9" i="6"/>
  <c r="N9" i="6"/>
  <c r="I9" i="6"/>
  <c r="K8" i="5"/>
  <c r="H9" i="5"/>
  <c r="I9" i="5"/>
  <c r="N9" i="5"/>
  <c r="M9" i="4"/>
  <c r="J8" i="4"/>
  <c r="G9" i="4"/>
  <c r="H9" i="4"/>
  <c r="F10" i="3"/>
  <c r="G10" i="3"/>
  <c r="I9" i="3"/>
  <c r="L10" i="3"/>
  <c r="G10" i="1"/>
  <c r="L10" i="1"/>
  <c r="I9" i="1"/>
  <c r="F10" i="1"/>
  <c r="O9" i="9" l="1"/>
  <c r="L10" i="9"/>
  <c r="M10" i="9"/>
  <c r="R10" i="9"/>
  <c r="M9" i="8"/>
  <c r="J10" i="8"/>
  <c r="K10" i="8"/>
  <c r="P10" i="8"/>
  <c r="L9" i="7"/>
  <c r="I10" i="7"/>
  <c r="J10" i="7"/>
  <c r="O10" i="7"/>
  <c r="K9" i="6"/>
  <c r="H10" i="6"/>
  <c r="I10" i="6"/>
  <c r="N10" i="6"/>
  <c r="K9" i="5"/>
  <c r="H10" i="5"/>
  <c r="I10" i="5"/>
  <c r="N10" i="5"/>
  <c r="J9" i="4"/>
  <c r="G10" i="4"/>
  <c r="H10" i="4"/>
  <c r="M10" i="4"/>
  <c r="L11" i="3"/>
  <c r="I10" i="3"/>
  <c r="F11" i="3"/>
  <c r="G11" i="3"/>
  <c r="G11" i="1"/>
  <c r="L11" i="1"/>
  <c r="I10" i="1"/>
  <c r="F11" i="1"/>
  <c r="O10" i="9" l="1"/>
  <c r="L11" i="9"/>
  <c r="M11" i="9"/>
  <c r="R11" i="9"/>
  <c r="M10" i="8"/>
  <c r="J11" i="8"/>
  <c r="K11" i="8"/>
  <c r="P11" i="8"/>
  <c r="L10" i="7"/>
  <c r="I11" i="7"/>
  <c r="J11" i="7"/>
  <c r="O11" i="7"/>
  <c r="K10" i="6"/>
  <c r="H11" i="6"/>
  <c r="I11" i="6"/>
  <c r="N11" i="6"/>
  <c r="K10" i="5"/>
  <c r="H11" i="5"/>
  <c r="I11" i="5"/>
  <c r="N11" i="5"/>
  <c r="J10" i="4"/>
  <c r="M11" i="4"/>
  <c r="G11" i="4"/>
  <c r="H11" i="4"/>
  <c r="I11" i="3"/>
  <c r="G12" i="3"/>
  <c r="F12" i="3"/>
  <c r="L12" i="3"/>
  <c r="G12" i="1"/>
  <c r="L12" i="1"/>
  <c r="I11" i="1"/>
  <c r="F12" i="1"/>
  <c r="O11" i="9" l="1"/>
  <c r="L12" i="9"/>
  <c r="M12" i="9"/>
  <c r="R12" i="9"/>
  <c r="M11" i="8"/>
  <c r="J12" i="8"/>
  <c r="K12" i="8"/>
  <c r="P12" i="8"/>
  <c r="L11" i="7"/>
  <c r="I12" i="7"/>
  <c r="J12" i="7"/>
  <c r="O12" i="7"/>
  <c r="K11" i="6"/>
  <c r="H12" i="6"/>
  <c r="I12" i="6"/>
  <c r="N12" i="6"/>
  <c r="K11" i="5"/>
  <c r="I12" i="5"/>
  <c r="N12" i="5"/>
  <c r="H12" i="5"/>
  <c r="J11" i="4"/>
  <c r="G12" i="4"/>
  <c r="H12" i="4"/>
  <c r="M12" i="4"/>
  <c r="L13" i="3"/>
  <c r="I12" i="3"/>
  <c r="F13" i="3"/>
  <c r="G13" i="3"/>
  <c r="G13" i="1"/>
  <c r="L13" i="1"/>
  <c r="I12" i="1"/>
  <c r="F13" i="1"/>
  <c r="O12" i="9" l="1"/>
  <c r="L13" i="9"/>
  <c r="M13" i="9"/>
  <c r="R13" i="9"/>
  <c r="M12" i="8"/>
  <c r="J13" i="8"/>
  <c r="K13" i="8"/>
  <c r="P13" i="8"/>
  <c r="L12" i="7"/>
  <c r="I13" i="7"/>
  <c r="J13" i="7"/>
  <c r="O13" i="7"/>
  <c r="K12" i="6"/>
  <c r="H13" i="6"/>
  <c r="I13" i="6"/>
  <c r="N13" i="6"/>
  <c r="H13" i="5"/>
  <c r="I13" i="5"/>
  <c r="N13" i="5"/>
  <c r="K12" i="5"/>
  <c r="H13" i="4"/>
  <c r="M13" i="4"/>
  <c r="J12" i="4"/>
  <c r="G13" i="4"/>
  <c r="I13" i="3"/>
  <c r="F14" i="3"/>
  <c r="G14" i="3"/>
  <c r="L14" i="3"/>
  <c r="L14" i="1"/>
  <c r="G14" i="1"/>
  <c r="I13" i="1"/>
  <c r="F14" i="1"/>
  <c r="O13" i="9" l="1"/>
  <c r="L14" i="9"/>
  <c r="M14" i="9"/>
  <c r="R14" i="9"/>
  <c r="M13" i="8"/>
  <c r="J14" i="8"/>
  <c r="K14" i="8"/>
  <c r="P14" i="8"/>
  <c r="L13" i="7"/>
  <c r="I14" i="7"/>
  <c r="J14" i="7"/>
  <c r="O14" i="7"/>
  <c r="K13" i="6"/>
  <c r="H14" i="6"/>
  <c r="I14" i="6"/>
  <c r="N14" i="6"/>
  <c r="K13" i="5"/>
  <c r="I14" i="5"/>
  <c r="H14" i="5"/>
  <c r="N14" i="5"/>
  <c r="G14" i="4"/>
  <c r="J13" i="4"/>
  <c r="M14" i="4"/>
  <c r="H14" i="4"/>
  <c r="I14" i="3"/>
  <c r="F15" i="3"/>
  <c r="G15" i="3"/>
  <c r="L15" i="3"/>
  <c r="G15" i="1"/>
  <c r="L15" i="1"/>
  <c r="I14" i="1"/>
  <c r="F15" i="1"/>
  <c r="O14" i="9" l="1"/>
  <c r="L15" i="9"/>
  <c r="M15" i="9"/>
  <c r="R15" i="9"/>
  <c r="M14" i="8"/>
  <c r="J15" i="8"/>
  <c r="K15" i="8"/>
  <c r="P15" i="8"/>
  <c r="L14" i="7"/>
  <c r="I15" i="7"/>
  <c r="J15" i="7"/>
  <c r="O15" i="7"/>
  <c r="K14" i="6"/>
  <c r="H15" i="6"/>
  <c r="I15" i="6"/>
  <c r="N15" i="6"/>
  <c r="K14" i="5"/>
  <c r="I15" i="5"/>
  <c r="N15" i="5"/>
  <c r="H15" i="5"/>
  <c r="J14" i="4"/>
  <c r="G15" i="4"/>
  <c r="H15" i="4"/>
  <c r="M15" i="4"/>
  <c r="I15" i="3"/>
  <c r="F16" i="3"/>
  <c r="G16" i="3"/>
  <c r="L16" i="3"/>
  <c r="G16" i="1"/>
  <c r="L16" i="1"/>
  <c r="I15" i="1"/>
  <c r="F16" i="1"/>
  <c r="O15" i="9" l="1"/>
  <c r="L16" i="9"/>
  <c r="M16" i="9"/>
  <c r="R16" i="9"/>
  <c r="M15" i="8"/>
  <c r="J16" i="8"/>
  <c r="K16" i="8"/>
  <c r="P16" i="8"/>
  <c r="L15" i="7"/>
  <c r="I16" i="7"/>
  <c r="J16" i="7"/>
  <c r="O16" i="7"/>
  <c r="K15" i="6"/>
  <c r="H16" i="6"/>
  <c r="I16" i="6"/>
  <c r="N16" i="6"/>
  <c r="K15" i="5"/>
  <c r="H16" i="5"/>
  <c r="I16" i="5"/>
  <c r="N16" i="5"/>
  <c r="J15" i="4"/>
  <c r="G16" i="4"/>
  <c r="H16" i="4"/>
  <c r="M16" i="4"/>
  <c r="I16" i="3"/>
  <c r="L17" i="3"/>
  <c r="F17" i="3"/>
  <c r="G17" i="3"/>
  <c r="G17" i="1"/>
  <c r="L17" i="1"/>
  <c r="I16" i="1"/>
  <c r="F17" i="1"/>
  <c r="O16" i="9" l="1"/>
  <c r="L17" i="9"/>
  <c r="M17" i="9"/>
  <c r="R17" i="9"/>
  <c r="M16" i="8"/>
  <c r="J17" i="8"/>
  <c r="K17" i="8"/>
  <c r="P17" i="8"/>
  <c r="L16" i="7"/>
  <c r="I17" i="7"/>
  <c r="J17" i="7"/>
  <c r="O17" i="7"/>
  <c r="K16" i="6"/>
  <c r="H17" i="6"/>
  <c r="N17" i="6"/>
  <c r="I17" i="6"/>
  <c r="K16" i="5"/>
  <c r="H17" i="5"/>
  <c r="I17" i="5"/>
  <c r="N17" i="5"/>
  <c r="J16" i="4"/>
  <c r="G17" i="4"/>
  <c r="H17" i="4"/>
  <c r="M17" i="4"/>
  <c r="I17" i="3"/>
  <c r="F18" i="3"/>
  <c r="G18" i="3"/>
  <c r="L18" i="3"/>
  <c r="G18" i="1"/>
  <c r="L18" i="1"/>
  <c r="I17" i="1"/>
  <c r="F18" i="1"/>
  <c r="O17" i="9" l="1"/>
  <c r="L18" i="9"/>
  <c r="M18" i="9"/>
  <c r="R18" i="9"/>
  <c r="M17" i="8"/>
  <c r="J18" i="8"/>
  <c r="K18" i="8"/>
  <c r="P18" i="8"/>
  <c r="L17" i="7"/>
  <c r="I18" i="7"/>
  <c r="J18" i="7"/>
  <c r="O18" i="7"/>
  <c r="K17" i="6"/>
  <c r="H18" i="6"/>
  <c r="I18" i="6"/>
  <c r="N18" i="6"/>
  <c r="H18" i="5"/>
  <c r="I18" i="5"/>
  <c r="N18" i="5"/>
  <c r="K17" i="5"/>
  <c r="J17" i="4"/>
  <c r="G18" i="4"/>
  <c r="H18" i="4"/>
  <c r="M18" i="4"/>
  <c r="I18" i="3"/>
  <c r="L19" i="3"/>
  <c r="F19" i="3"/>
  <c r="G19" i="3"/>
  <c r="L19" i="1"/>
  <c r="G19" i="1"/>
  <c r="I18" i="1"/>
  <c r="F19" i="1"/>
  <c r="O18" i="9" l="1"/>
  <c r="L19" i="9"/>
  <c r="M19" i="9"/>
  <c r="R19" i="9"/>
  <c r="M18" i="8"/>
  <c r="J19" i="8"/>
  <c r="K19" i="8"/>
  <c r="P19" i="8"/>
  <c r="L18" i="7"/>
  <c r="I19" i="7"/>
  <c r="J19" i="7"/>
  <c r="O19" i="7"/>
  <c r="K18" i="6"/>
  <c r="H19" i="6"/>
  <c r="I19" i="6"/>
  <c r="N19" i="6"/>
  <c r="K18" i="5"/>
  <c r="H19" i="5"/>
  <c r="I19" i="5"/>
  <c r="N19" i="5"/>
  <c r="M19" i="4"/>
  <c r="J18" i="4"/>
  <c r="G19" i="4"/>
  <c r="H19" i="4"/>
  <c r="I19" i="3"/>
  <c r="F20" i="3"/>
  <c r="G20" i="3"/>
  <c r="L20" i="3"/>
  <c r="G20" i="1"/>
  <c r="L20" i="1"/>
  <c r="I19" i="1"/>
  <c r="F20" i="1"/>
  <c r="O19" i="9" l="1"/>
  <c r="L20" i="9"/>
  <c r="M20" i="9"/>
  <c r="R20" i="9"/>
  <c r="M19" i="8"/>
  <c r="J20" i="8"/>
  <c r="K20" i="8"/>
  <c r="P20" i="8"/>
  <c r="L19" i="7"/>
  <c r="I20" i="7"/>
  <c r="J20" i="7"/>
  <c r="O20" i="7"/>
  <c r="K19" i="6"/>
  <c r="H20" i="6"/>
  <c r="I20" i="6"/>
  <c r="N20" i="6"/>
  <c r="K19" i="5"/>
  <c r="H20" i="5"/>
  <c r="I20" i="5"/>
  <c r="N20" i="5"/>
  <c r="J19" i="4"/>
  <c r="M20" i="4"/>
  <c r="G20" i="4"/>
  <c r="H20" i="4"/>
  <c r="L21" i="3"/>
  <c r="I20" i="3"/>
  <c r="F21" i="3"/>
  <c r="G21" i="3"/>
  <c r="G21" i="1"/>
  <c r="L21" i="1"/>
  <c r="I20" i="1"/>
  <c r="F21" i="1"/>
  <c r="O20" i="9" l="1"/>
  <c r="L21" i="9"/>
  <c r="M21" i="9"/>
  <c r="R21" i="9"/>
  <c r="M20" i="8"/>
  <c r="J21" i="8"/>
  <c r="K21" i="8"/>
  <c r="P21" i="8"/>
  <c r="L20" i="7"/>
  <c r="I21" i="7"/>
  <c r="J21" i="7"/>
  <c r="O21" i="7"/>
  <c r="K20" i="6"/>
  <c r="H21" i="6"/>
  <c r="I21" i="6"/>
  <c r="N21" i="6"/>
  <c r="K20" i="5"/>
  <c r="H21" i="5"/>
  <c r="I21" i="5"/>
  <c r="N21" i="5"/>
  <c r="J20" i="4"/>
  <c r="G21" i="4"/>
  <c r="H21" i="4"/>
  <c r="M21" i="4"/>
  <c r="F22" i="3"/>
  <c r="I22" i="3" s="1"/>
  <c r="G22" i="3"/>
  <c r="L22" i="3"/>
  <c r="I21" i="3"/>
  <c r="G22" i="1"/>
  <c r="L22" i="1"/>
  <c r="I21" i="1"/>
  <c r="F22" i="1"/>
  <c r="I22" i="1" s="1"/>
  <c r="O21" i="9" l="1"/>
  <c r="L22" i="9"/>
  <c r="O22" i="9" s="1"/>
  <c r="M22" i="9"/>
  <c r="R22" i="9"/>
  <c r="M21" i="8"/>
  <c r="J22" i="8"/>
  <c r="M22" i="8" s="1"/>
  <c r="K22" i="8"/>
  <c r="P22" i="8"/>
  <c r="L21" i="7"/>
  <c r="I22" i="7"/>
  <c r="L22" i="7" s="1"/>
  <c r="J22" i="7"/>
  <c r="O22" i="7"/>
  <c r="K21" i="6"/>
  <c r="H22" i="6"/>
  <c r="K22" i="6" s="1"/>
  <c r="I22" i="6"/>
  <c r="N22" i="6"/>
  <c r="K21" i="5"/>
  <c r="H22" i="5"/>
  <c r="K22" i="5" s="1"/>
  <c r="I22" i="5"/>
  <c r="N22" i="5"/>
  <c r="J21" i="4"/>
  <c r="G22" i="4"/>
  <c r="J22" i="4" s="1"/>
  <c r="H22" i="4"/>
  <c r="M22" i="4"/>
</calcChain>
</file>

<file path=xl/sharedStrings.xml><?xml version="1.0" encoding="utf-8"?>
<sst xmlns="http://schemas.openxmlformats.org/spreadsheetml/2006/main" count="344" uniqueCount="54">
  <si>
    <t>Iteration</t>
  </si>
  <si>
    <t>X1</t>
  </si>
  <si>
    <t>X2</t>
  </si>
  <si>
    <t>X3</t>
  </si>
  <si>
    <t>X4</t>
  </si>
  <si>
    <t>X5</t>
  </si>
  <si>
    <t>X6</t>
  </si>
  <si>
    <t>X7</t>
  </si>
  <si>
    <t>X8</t>
  </si>
  <si>
    <t>Predicted Value</t>
  </si>
  <si>
    <t>Best so Far</t>
  </si>
  <si>
    <t>Improvement</t>
  </si>
  <si>
    <t>Cumulative Max</t>
  </si>
  <si>
    <t>Regret</t>
  </si>
  <si>
    <t>Week number</t>
  </si>
  <si>
    <t>X1…X8</t>
  </si>
  <si>
    <t>First to eight dimension of submitted point</t>
  </si>
  <si>
    <t>GP surrogate prediction at that point</t>
  </si>
  <si>
    <t>Best So Far</t>
  </si>
  <si>
    <t>Running best predicted value</t>
  </si>
  <si>
    <t>Improvement over previous best</t>
  </si>
  <si>
    <t>Max of all predicted values so far</t>
  </si>
  <si>
    <t>Difference between global best and current best</t>
  </si>
  <si>
    <t>Distance from Previous</t>
  </si>
  <si>
    <t>Global Optimum</t>
  </si>
  <si>
    <t>Normalised Improvement</t>
  </si>
  <si>
    <t>Acqusition Score (optional)</t>
  </si>
  <si>
    <t>Real Value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</si>
  <si>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</si>
  <si>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</si>
  <si>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</si>
  <si>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</si>
  <si>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</si>
  <si>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</si>
  <si>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</si>
  <si>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</si>
  <si>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</si>
  <si>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</si>
  <si>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</si>
  <si>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</si>
  <si>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</si>
  <si>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</si>
  <si>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</si>
  <si>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</si>
  <si>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</si>
  <si>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</si>
  <si>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</si>
  <si>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</si>
  <si>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Model</t>
  </si>
  <si>
    <t>Acq Method</t>
  </si>
  <si>
    <t>Grid Size</t>
  </si>
  <si>
    <t>UCB</t>
  </si>
  <si>
    <t>Guassian Process Regressor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</si>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</sst>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2A8B-D5D2-FB44-AFEE-7F2CE70F2CF0}">
  <dimension ref="A1:B7"/>
  <sheetViews>
    <sheetView workbookViewId="0">
      <selection activeCell="B8" sqref="B8"/>
    </sheetView>
  </sheetViews>
  <sheetFormatPr baseColWidth="10" defaultRowHeight="16" x14ac:dyDescent="0.2"/>
  <cols>
    <col min="1" max="1" width="14.33203125" bestFit="1" customWidth="1"/>
    <col min="2" max="2" width="41.5" bestFit="1" customWidth="1"/>
  </cols>
  <sheetData>
    <row r="1" spans="1:2" x14ac:dyDescent="0.2">
      <c r="A1" t="s">
        <v>0</v>
      </c>
      <c r="B1" t="s">
        <v>14</v>
      </c>
    </row>
    <row r="2" spans="1:2" x14ac:dyDescent="0.2">
      <c r="A2" t="s">
        <v>15</v>
      </c>
      <c r="B2" t="s">
        <v>16</v>
      </c>
    </row>
    <row r="3" spans="1:2" x14ac:dyDescent="0.2">
      <c r="A3" t="s">
        <v>9</v>
      </c>
      <c r="B3" t="s">
        <v>17</v>
      </c>
    </row>
    <row r="4" spans="1:2" x14ac:dyDescent="0.2">
      <c r="A4" t="s">
        <v>18</v>
      </c>
      <c r="B4" t="s">
        <v>19</v>
      </c>
    </row>
    <row r="5" spans="1:2" x14ac:dyDescent="0.2">
      <c r="A5" t="s">
        <v>11</v>
      </c>
      <c r="B5" t="s">
        <v>20</v>
      </c>
    </row>
    <row r="6" spans="1:2" x14ac:dyDescent="0.2">
      <c r="A6" t="s">
        <v>12</v>
      </c>
      <c r="B6" t="s">
        <v>21</v>
      </c>
    </row>
    <row r="7" spans="1:2" x14ac:dyDescent="0.2">
      <c r="A7" t="s">
        <v>13</v>
      </c>
      <c r="B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1009-3C0A-CE4D-B71D-E740B0EB7EAB}">
  <dimension ref="A1:Q22"/>
  <sheetViews>
    <sheetView workbookViewId="0">
      <selection activeCell="M6" sqref="M6"/>
    </sheetView>
  </sheetViews>
  <sheetFormatPr baseColWidth="10" defaultRowHeight="16" x14ac:dyDescent="0.2"/>
  <cols>
    <col min="1" max="1" width="8.33203125" bestFit="1" customWidth="1"/>
    <col min="2" max="3" width="9.1640625" bestFit="1" customWidth="1"/>
    <col min="4" max="4" width="14" bestFit="1" customWidth="1"/>
    <col min="5" max="5" width="10" bestFit="1" customWidth="1"/>
    <col min="6" max="6" width="11.83203125" bestFit="1" customWidth="1"/>
    <col min="7" max="7" width="12.1640625" bestFit="1" customWidth="1"/>
    <col min="8" max="8" width="14.33203125" bestFit="1" customWidth="1"/>
    <col min="9" max="9" width="8.33203125" bestFit="1" customWidth="1"/>
    <col min="10" max="10" width="20.1640625" bestFit="1" customWidth="1"/>
    <col min="11" max="11" width="14.83203125" bestFit="1" customWidth="1"/>
    <col min="12" max="12" width="22.5" bestFit="1" customWidth="1"/>
    <col min="13" max="13" width="23.5" bestFit="1" customWidth="1"/>
    <col min="14" max="14" width="24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9</v>
      </c>
      <c r="E1" t="s">
        <v>27</v>
      </c>
      <c r="F1" t="s">
        <v>10</v>
      </c>
      <c r="G1" t="s">
        <v>11</v>
      </c>
      <c r="H1" t="s">
        <v>12</v>
      </c>
      <c r="I1" t="s">
        <v>13</v>
      </c>
      <c r="J1" t="s">
        <v>23</v>
      </c>
      <c r="K1" t="s">
        <v>24</v>
      </c>
      <c r="L1" t="s">
        <v>25</v>
      </c>
      <c r="M1" t="s">
        <v>26</v>
      </c>
      <c r="N1" t="s">
        <v>48</v>
      </c>
      <c r="O1" t="s">
        <v>49</v>
      </c>
      <c r="P1" t="s">
        <v>50</v>
      </c>
      <c r="Q1" t="s">
        <v>53</v>
      </c>
    </row>
    <row r="2" spans="1:17" x14ac:dyDescent="0.2">
      <c r="A2" t="s">
        <v>28</v>
      </c>
    </row>
    <row r="3" spans="1:17" x14ac:dyDescent="0.2">
      <c r="A3" t="s">
        <v>29</v>
      </c>
    </row>
    <row r="4" spans="1:17" x14ac:dyDescent="0.2">
      <c r="A4" t="s">
        <v>30</v>
      </c>
      <c r="B4">
        <v>0.579291</v>
      </c>
      <c r="C4">
        <v>1.059596</v>
      </c>
      <c r="D4">
        <v>-1.7032995681633901E-4</v>
      </c>
      <c r="E4" s="1">
        <v>4.5074380138539899E-133</v>
      </c>
      <c r="F4">
        <f>D4</f>
        <v>-1.7032995681633901E-4</v>
      </c>
      <c r="G4">
        <f>0</f>
        <v>0</v>
      </c>
      <c r="H4">
        <f>D4</f>
        <v>-1.7032995681633901E-4</v>
      </c>
      <c r="I4" t="e">
        <f>$K$1 - F4</f>
        <v>#VALUE!</v>
      </c>
      <c r="M4">
        <v>3.0545856334671702</v>
      </c>
      <c r="N4" t="s">
        <v>52</v>
      </c>
      <c r="O4" t="s">
        <v>51</v>
      </c>
      <c r="P4">
        <v>100</v>
      </c>
      <c r="Q4">
        <v>3</v>
      </c>
    </row>
    <row r="5" spans="1:17" x14ac:dyDescent="0.2">
      <c r="A5" t="s">
        <v>31</v>
      </c>
      <c r="B5">
        <v>0.43676900000000002</v>
      </c>
      <c r="C5">
        <v>0.82516299999999998</v>
      </c>
      <c r="D5" s="1">
        <v>-1.225251454115E-14</v>
      </c>
      <c r="E5" s="1">
        <v>-1.51997196849536E-55</v>
      </c>
      <c r="F5">
        <f>MAX(F4, D5)</f>
        <v>-1.225251454115E-14</v>
      </c>
      <c r="G5">
        <f>D5 - F4</f>
        <v>1.703299568040865E-4</v>
      </c>
      <c r="H5">
        <f>MAX(H4, D5)</f>
        <v>-1.225251454115E-14</v>
      </c>
      <c r="I5" t="e">
        <f>$K$1 - F5</f>
        <v>#VALUE!</v>
      </c>
      <c r="J5">
        <f t="shared" ref="J5:J22" si="0">SQRT(SUMXMY2(B5:C5, B4:C4))</f>
        <v>0.27435625010741055</v>
      </c>
      <c r="L5">
        <f>IF(F4=0,0,(D5 - F4)/ABS(F4))</f>
        <v>0.99999999992806599</v>
      </c>
      <c r="M5">
        <v>0.27738009808394498</v>
      </c>
    </row>
    <row r="6" spans="1:17" x14ac:dyDescent="0.2">
      <c r="A6" t="s">
        <v>32</v>
      </c>
      <c r="B6">
        <v>0.46939502</v>
      </c>
      <c r="C6">
        <v>1.0500914699999999</v>
      </c>
      <c r="D6">
        <v>0.14281653</v>
      </c>
      <c r="E6" s="1">
        <v>-6.6884852792960294E-142</v>
      </c>
      <c r="F6" t="e">
        <f xml:space="preserve"> MAX(F5,#REF!)</f>
        <v>#REF!</v>
      </c>
      <c r="G6" t="e">
        <f>#REF! - F5</f>
        <v>#REF!</v>
      </c>
      <c r="H6" t="e">
        <f xml:space="preserve"> MAX(H5,#REF!)</f>
        <v>#REF!</v>
      </c>
      <c r="I6" t="e">
        <f t="shared" ref="I6:I22" si="1">$K$1 - F6</f>
        <v>#VALUE!</v>
      </c>
      <c r="J6" t="e">
        <f>SQRT(SUMXMY2(#REF!, B5:C5))</f>
        <v>#REF!</v>
      </c>
      <c r="L6" t="e">
        <f>IF(F5=0,0,(#REF! - F5)/ABS(F5))</f>
        <v>#REF!</v>
      </c>
      <c r="M6">
        <v>0.47373519330133701</v>
      </c>
    </row>
    <row r="7" spans="1:17" x14ac:dyDescent="0.2">
      <c r="A7" t="s">
        <v>33</v>
      </c>
      <c r="F7" t="e">
        <f t="shared" ref="F6:F22" si="2">MAX(F6, D7)</f>
        <v>#REF!</v>
      </c>
      <c r="G7" t="e">
        <f t="shared" ref="G6:G22" si="3">D7 - F6</f>
        <v>#REF!</v>
      </c>
      <c r="H7" t="e">
        <f t="shared" ref="H6:H22" si="4">MAX(H6, D7)</f>
        <v>#REF!</v>
      </c>
      <c r="I7" t="e">
        <f t="shared" si="1"/>
        <v>#VALUE!</v>
      </c>
      <c r="J7" t="e">
        <f>SQRT( SUMXMY2(B7:C7,#REF!))</f>
        <v>#REF!</v>
      </c>
      <c r="L7" t="e">
        <f t="shared" ref="L6:L22" si="5">IF(F6=0,0,(D7 - F6)/ABS(F6))</f>
        <v>#REF!</v>
      </c>
    </row>
    <row r="8" spans="1:17" x14ac:dyDescent="0.2">
      <c r="A8" t="s">
        <v>34</v>
      </c>
      <c r="F8" t="e">
        <f t="shared" si="2"/>
        <v>#REF!</v>
      </c>
      <c r="G8" t="e">
        <f t="shared" si="3"/>
        <v>#REF!</v>
      </c>
      <c r="H8" t="e">
        <f t="shared" si="4"/>
        <v>#REF!</v>
      </c>
      <c r="I8" t="e">
        <f t="shared" si="1"/>
        <v>#VALUE!</v>
      </c>
      <c r="J8" t="e">
        <f t="shared" si="0"/>
        <v>#DIV/0!</v>
      </c>
      <c r="L8" t="e">
        <f t="shared" si="5"/>
        <v>#REF!</v>
      </c>
    </row>
    <row r="9" spans="1:17" x14ac:dyDescent="0.2">
      <c r="A9" t="s">
        <v>35</v>
      </c>
      <c r="F9" t="e">
        <f t="shared" si="2"/>
        <v>#REF!</v>
      </c>
      <c r="G9" t="e">
        <f t="shared" si="3"/>
        <v>#REF!</v>
      </c>
      <c r="H9" t="e">
        <f t="shared" si="4"/>
        <v>#REF!</v>
      </c>
      <c r="I9" t="e">
        <f t="shared" si="1"/>
        <v>#VALUE!</v>
      </c>
      <c r="J9" t="e">
        <f t="shared" si="0"/>
        <v>#DIV/0!</v>
      </c>
      <c r="L9" t="e">
        <f t="shared" si="5"/>
        <v>#REF!</v>
      </c>
    </row>
    <row r="10" spans="1:17" x14ac:dyDescent="0.2">
      <c r="A10" t="s">
        <v>36</v>
      </c>
      <c r="F10" t="e">
        <f t="shared" si="2"/>
        <v>#REF!</v>
      </c>
      <c r="G10" t="e">
        <f t="shared" si="3"/>
        <v>#REF!</v>
      </c>
      <c r="H10" t="e">
        <f t="shared" si="4"/>
        <v>#REF!</v>
      </c>
      <c r="I10" t="e">
        <f t="shared" si="1"/>
        <v>#VALUE!</v>
      </c>
      <c r="J10" t="e">
        <f t="shared" si="0"/>
        <v>#DIV/0!</v>
      </c>
      <c r="L10" t="e">
        <f t="shared" si="5"/>
        <v>#REF!</v>
      </c>
    </row>
    <row r="11" spans="1:17" x14ac:dyDescent="0.2">
      <c r="A11" t="s">
        <v>37</v>
      </c>
      <c r="F11" t="e">
        <f t="shared" si="2"/>
        <v>#REF!</v>
      </c>
      <c r="G11" t="e">
        <f t="shared" si="3"/>
        <v>#REF!</v>
      </c>
      <c r="H11" t="e">
        <f t="shared" si="4"/>
        <v>#REF!</v>
      </c>
      <c r="I11" t="e">
        <f t="shared" si="1"/>
        <v>#VALUE!</v>
      </c>
      <c r="J11" t="e">
        <f t="shared" si="0"/>
        <v>#DIV/0!</v>
      </c>
      <c r="L11" t="e">
        <f t="shared" si="5"/>
        <v>#REF!</v>
      </c>
    </row>
    <row r="12" spans="1:17" x14ac:dyDescent="0.2">
      <c r="A12" t="s">
        <v>38</v>
      </c>
      <c r="F12" t="e">
        <f t="shared" si="2"/>
        <v>#REF!</v>
      </c>
      <c r="G12" t="e">
        <f t="shared" si="3"/>
        <v>#REF!</v>
      </c>
      <c r="H12" t="e">
        <f t="shared" si="4"/>
        <v>#REF!</v>
      </c>
      <c r="I12" t="e">
        <f t="shared" si="1"/>
        <v>#VALUE!</v>
      </c>
      <c r="J12" t="e">
        <f t="shared" si="0"/>
        <v>#DIV/0!</v>
      </c>
      <c r="L12" t="e">
        <f t="shared" si="5"/>
        <v>#REF!</v>
      </c>
    </row>
    <row r="13" spans="1:17" x14ac:dyDescent="0.2">
      <c r="A13" t="s">
        <v>39</v>
      </c>
      <c r="F13" t="e">
        <f t="shared" si="2"/>
        <v>#REF!</v>
      </c>
      <c r="G13" t="e">
        <f t="shared" si="3"/>
        <v>#REF!</v>
      </c>
      <c r="H13" t="e">
        <f t="shared" si="4"/>
        <v>#REF!</v>
      </c>
      <c r="I13" t="e">
        <f t="shared" si="1"/>
        <v>#VALUE!</v>
      </c>
      <c r="J13" t="e">
        <f t="shared" si="0"/>
        <v>#DIV/0!</v>
      </c>
      <c r="L13" t="e">
        <f t="shared" si="5"/>
        <v>#REF!</v>
      </c>
    </row>
    <row r="14" spans="1:17" x14ac:dyDescent="0.2">
      <c r="A14" t="s">
        <v>40</v>
      </c>
      <c r="F14" t="e">
        <f t="shared" si="2"/>
        <v>#REF!</v>
      </c>
      <c r="G14" t="e">
        <f t="shared" si="3"/>
        <v>#REF!</v>
      </c>
      <c r="H14" t="e">
        <f t="shared" si="4"/>
        <v>#REF!</v>
      </c>
      <c r="I14" t="e">
        <f t="shared" si="1"/>
        <v>#VALUE!</v>
      </c>
      <c r="J14" t="e">
        <f t="shared" si="0"/>
        <v>#DIV/0!</v>
      </c>
      <c r="L14" t="e">
        <f t="shared" si="5"/>
        <v>#REF!</v>
      </c>
    </row>
    <row r="15" spans="1:17" x14ac:dyDescent="0.2">
      <c r="A15" t="s">
        <v>41</v>
      </c>
      <c r="F15" t="e">
        <f t="shared" si="2"/>
        <v>#REF!</v>
      </c>
      <c r="G15" t="e">
        <f t="shared" si="3"/>
        <v>#REF!</v>
      </c>
      <c r="H15" t="e">
        <f t="shared" si="4"/>
        <v>#REF!</v>
      </c>
      <c r="I15" t="e">
        <f t="shared" si="1"/>
        <v>#VALUE!</v>
      </c>
      <c r="J15" t="e">
        <f t="shared" si="0"/>
        <v>#DIV/0!</v>
      </c>
      <c r="L15" t="e">
        <f t="shared" si="5"/>
        <v>#REF!</v>
      </c>
    </row>
    <row r="16" spans="1:17" x14ac:dyDescent="0.2">
      <c r="A16" t="s">
        <v>42</v>
      </c>
      <c r="F16" t="e">
        <f t="shared" si="2"/>
        <v>#REF!</v>
      </c>
      <c r="G16" t="e">
        <f t="shared" si="3"/>
        <v>#REF!</v>
      </c>
      <c r="H16" t="e">
        <f t="shared" si="4"/>
        <v>#REF!</v>
      </c>
      <c r="I16" t="e">
        <f t="shared" si="1"/>
        <v>#VALUE!</v>
      </c>
      <c r="J16" t="e">
        <f t="shared" si="0"/>
        <v>#DIV/0!</v>
      </c>
      <c r="L16" t="e">
        <f t="shared" si="5"/>
        <v>#REF!</v>
      </c>
    </row>
    <row r="17" spans="1:12" x14ac:dyDescent="0.2">
      <c r="A17" t="s">
        <v>43</v>
      </c>
      <c r="F17" t="e">
        <f t="shared" si="2"/>
        <v>#REF!</v>
      </c>
      <c r="G17" t="e">
        <f t="shared" si="3"/>
        <v>#REF!</v>
      </c>
      <c r="H17" t="e">
        <f t="shared" si="4"/>
        <v>#REF!</v>
      </c>
      <c r="I17" t="e">
        <f t="shared" si="1"/>
        <v>#VALUE!</v>
      </c>
      <c r="J17" t="e">
        <f t="shared" si="0"/>
        <v>#DIV/0!</v>
      </c>
      <c r="L17" t="e">
        <f t="shared" si="5"/>
        <v>#REF!</v>
      </c>
    </row>
    <row r="18" spans="1:12" x14ac:dyDescent="0.2">
      <c r="A18" t="s">
        <v>44</v>
      </c>
      <c r="F18" t="e">
        <f t="shared" si="2"/>
        <v>#REF!</v>
      </c>
      <c r="G18" t="e">
        <f t="shared" si="3"/>
        <v>#REF!</v>
      </c>
      <c r="H18" t="e">
        <f t="shared" si="4"/>
        <v>#REF!</v>
      </c>
      <c r="I18" t="e">
        <f t="shared" si="1"/>
        <v>#VALUE!</v>
      </c>
      <c r="J18" t="e">
        <f t="shared" si="0"/>
        <v>#DIV/0!</v>
      </c>
      <c r="L18" t="e">
        <f t="shared" si="5"/>
        <v>#REF!</v>
      </c>
    </row>
    <row r="19" spans="1:12" x14ac:dyDescent="0.2">
      <c r="A19" t="s">
        <v>45</v>
      </c>
      <c r="F19" t="e">
        <f t="shared" si="2"/>
        <v>#REF!</v>
      </c>
      <c r="G19" t="e">
        <f t="shared" si="3"/>
        <v>#REF!</v>
      </c>
      <c r="H19" t="e">
        <f t="shared" si="4"/>
        <v>#REF!</v>
      </c>
      <c r="I19" t="e">
        <f t="shared" si="1"/>
        <v>#VALUE!</v>
      </c>
      <c r="J19" t="e">
        <f t="shared" si="0"/>
        <v>#DIV/0!</v>
      </c>
      <c r="L19" t="e">
        <f t="shared" si="5"/>
        <v>#REF!</v>
      </c>
    </row>
    <row r="20" spans="1:12" x14ac:dyDescent="0.2">
      <c r="A20" t="s">
        <v>46</v>
      </c>
      <c r="F20" t="e">
        <f t="shared" si="2"/>
        <v>#REF!</v>
      </c>
      <c r="G20" t="e">
        <f t="shared" si="3"/>
        <v>#REF!</v>
      </c>
      <c r="H20" t="e">
        <f t="shared" si="4"/>
        <v>#REF!</v>
      </c>
      <c r="I20" t="e">
        <f t="shared" si="1"/>
        <v>#VALUE!</v>
      </c>
      <c r="J20" t="e">
        <f t="shared" si="0"/>
        <v>#DIV/0!</v>
      </c>
      <c r="L20" t="e">
        <f t="shared" si="5"/>
        <v>#REF!</v>
      </c>
    </row>
    <row r="21" spans="1:12" x14ac:dyDescent="0.2">
      <c r="A21" t="s">
        <v>47</v>
      </c>
      <c r="F21" t="e">
        <f t="shared" si="2"/>
        <v>#REF!</v>
      </c>
      <c r="G21" t="e">
        <f t="shared" si="3"/>
        <v>#REF!</v>
      </c>
      <c r="H21" t="e">
        <f t="shared" si="4"/>
        <v>#REF!</v>
      </c>
      <c r="I21" t="e">
        <f t="shared" si="1"/>
        <v>#VALUE!</v>
      </c>
      <c r="J21" t="e">
        <f t="shared" si="0"/>
        <v>#DIV/0!</v>
      </c>
      <c r="L21" t="e">
        <f t="shared" si="5"/>
        <v>#REF!</v>
      </c>
    </row>
    <row r="22" spans="1:12" x14ac:dyDescent="0.2">
      <c r="F22" t="e">
        <f t="shared" si="2"/>
        <v>#REF!</v>
      </c>
      <c r="G22" t="e">
        <f t="shared" si="3"/>
        <v>#REF!</v>
      </c>
      <c r="H22" t="e">
        <f t="shared" si="4"/>
        <v>#REF!</v>
      </c>
      <c r="I22" t="e">
        <f t="shared" si="1"/>
        <v>#VALUE!</v>
      </c>
      <c r="J22" t="e">
        <f t="shared" si="0"/>
        <v>#DIV/0!</v>
      </c>
      <c r="L22" t="e">
        <f t="shared" si="5"/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093B-F8E3-994A-BC17-543554634BFF}">
  <dimension ref="A1:Q22"/>
  <sheetViews>
    <sheetView workbookViewId="0">
      <selection activeCell="E6" sqref="E6"/>
    </sheetView>
  </sheetViews>
  <sheetFormatPr baseColWidth="10" defaultRowHeight="16" x14ac:dyDescent="0.2"/>
  <cols>
    <col min="1" max="1" width="8.33203125" bestFit="1" customWidth="1"/>
    <col min="2" max="3" width="9.1640625" bestFit="1" customWidth="1"/>
    <col min="4" max="4" width="14" bestFit="1" customWidth="1"/>
    <col min="5" max="5" width="10" bestFit="1" customWidth="1"/>
    <col min="6" max="6" width="11.83203125" bestFit="1" customWidth="1"/>
    <col min="7" max="7" width="12.1640625" bestFit="1" customWidth="1"/>
    <col min="8" max="8" width="14.33203125" bestFit="1" customWidth="1"/>
    <col min="9" max="9" width="8.33203125" bestFit="1" customWidth="1"/>
    <col min="10" max="10" width="20.1640625" bestFit="1" customWidth="1"/>
    <col min="11" max="11" width="14.83203125" bestFit="1" customWidth="1"/>
    <col min="12" max="12" width="22.5" bestFit="1" customWidth="1"/>
    <col min="13" max="13" width="23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9</v>
      </c>
      <c r="E1" t="s">
        <v>27</v>
      </c>
      <c r="F1" t="s">
        <v>10</v>
      </c>
      <c r="G1" t="s">
        <v>11</v>
      </c>
      <c r="H1" t="s">
        <v>12</v>
      </c>
      <c r="I1" t="s">
        <v>13</v>
      </c>
      <c r="J1" t="s">
        <v>23</v>
      </c>
      <c r="K1" t="s">
        <v>24</v>
      </c>
      <c r="L1" t="s">
        <v>25</v>
      </c>
      <c r="M1" t="s">
        <v>26</v>
      </c>
      <c r="N1" t="s">
        <v>48</v>
      </c>
      <c r="O1" t="s">
        <v>49</v>
      </c>
      <c r="P1" t="s">
        <v>50</v>
      </c>
      <c r="Q1" t="s">
        <v>53</v>
      </c>
    </row>
    <row r="2" spans="1:17" x14ac:dyDescent="0.2">
      <c r="A2" t="s">
        <v>28</v>
      </c>
    </row>
    <row r="3" spans="1:17" x14ac:dyDescent="0.2">
      <c r="A3" t="s">
        <v>29</v>
      </c>
    </row>
    <row r="4" spans="1:17" x14ac:dyDescent="0.2">
      <c r="A4" t="s">
        <v>30</v>
      </c>
      <c r="B4">
        <v>0.72276600000000002</v>
      </c>
      <c r="C4">
        <v>0.83971099999999999</v>
      </c>
      <c r="D4">
        <v>0.536144420160382</v>
      </c>
      <c r="E4" s="1">
        <v>0.53382698400608097</v>
      </c>
      <c r="F4">
        <f>D4</f>
        <v>0.536144420160382</v>
      </c>
      <c r="G4">
        <f>0</f>
        <v>0</v>
      </c>
      <c r="H4">
        <f>D4</f>
        <v>0.536144420160382</v>
      </c>
      <c r="I4" t="e">
        <f>$K$1 - F4</f>
        <v>#VALUE!</v>
      </c>
      <c r="M4">
        <v>3.47577492589126</v>
      </c>
      <c r="N4" t="s">
        <v>52</v>
      </c>
      <c r="O4" t="s">
        <v>51</v>
      </c>
      <c r="P4">
        <v>100</v>
      </c>
      <c r="Q4">
        <v>3</v>
      </c>
    </row>
    <row r="5" spans="1:17" x14ac:dyDescent="0.2">
      <c r="A5" t="s">
        <v>31</v>
      </c>
      <c r="B5">
        <v>0.69187299999999996</v>
      </c>
      <c r="C5">
        <v>0.26335599999999998</v>
      </c>
      <c r="D5">
        <v>0.59608136357177599</v>
      </c>
      <c r="E5">
        <v>0.59608136359848396</v>
      </c>
      <c r="F5">
        <f>MAX(F4, D5)</f>
        <v>0.59608136357177599</v>
      </c>
      <c r="G5">
        <f>D5 - F4</f>
        <v>5.9936943411393995E-2</v>
      </c>
      <c r="H5">
        <f>MAX(H4, D5)</f>
        <v>0.59608136357177599</v>
      </c>
      <c r="I5" t="e">
        <f>$K$1 - F5</f>
        <v>#VALUE!</v>
      </c>
      <c r="J5">
        <f>SQRT(SUMXMY2(B5:C5, B4:C4))</f>
        <v>0.57718234854680017</v>
      </c>
      <c r="L5">
        <f>IF(F4=0,0,(D5 - F4)/ABS(F4))</f>
        <v>0.11179253417104384</v>
      </c>
      <c r="M5">
        <v>1.4393149768254401</v>
      </c>
    </row>
    <row r="6" spans="1:17" x14ac:dyDescent="0.2">
      <c r="A6" t="s">
        <v>32</v>
      </c>
      <c r="B6">
        <v>0.79030400000000001</v>
      </c>
      <c r="C6">
        <v>0.104833</v>
      </c>
      <c r="D6">
        <v>0.67901355123219997</v>
      </c>
      <c r="E6">
        <v>1.6861726302249101E-2</v>
      </c>
      <c r="F6">
        <f>MAX(F5, 'Function 1'!D6)</f>
        <v>0.59608136357177599</v>
      </c>
      <c r="G6">
        <f>'Function 1'!D6 - F5</f>
        <v>-0.45326483357177599</v>
      </c>
      <c r="H6">
        <f>MAX(H5, 'Function 1'!D6)</f>
        <v>0.59608136357177599</v>
      </c>
      <c r="I6" t="e">
        <f t="shared" ref="I6:I22" si="0">$K$1 - F6</f>
        <v>#VALUE!</v>
      </c>
      <c r="J6">
        <f>SQRT(SUMXMY2('Function 1'!B6:C6, B5:C5))</f>
        <v>0.81758739676012693</v>
      </c>
      <c r="L6">
        <f>IF(F5=0,0,('Function 1'!D6 - F5)/ABS(F5))</f>
        <v>-0.76040765786699016</v>
      </c>
      <c r="M6">
        <v>2.1745030947216599</v>
      </c>
    </row>
    <row r="7" spans="1:17" x14ac:dyDescent="0.2">
      <c r="A7" t="s">
        <v>33</v>
      </c>
      <c r="F7">
        <f>MAX(F6, D7)</f>
        <v>0.59608136357177599</v>
      </c>
      <c r="G7">
        <f>D7 - F6</f>
        <v>-0.59608136357177599</v>
      </c>
      <c r="H7">
        <f>MAX(H6, D7)</f>
        <v>0.59608136357177599</v>
      </c>
      <c r="I7" t="e">
        <f t="shared" si="0"/>
        <v>#VALUE!</v>
      </c>
      <c r="J7" t="e">
        <f>SQRT(SUMXMY2(B7:C7, 'Function 1'!B6:C6))</f>
        <v>#DIV/0!</v>
      </c>
      <c r="L7">
        <f>IF(F6=0,0,(D7 - F6)/ABS(F6))</f>
        <v>-1</v>
      </c>
    </row>
    <row r="8" spans="1:17" x14ac:dyDescent="0.2">
      <c r="A8" t="s">
        <v>34</v>
      </c>
      <c r="F8">
        <f>MAX(F7, D8)</f>
        <v>0.59608136357177599</v>
      </c>
      <c r="G8">
        <f>D8 - F7</f>
        <v>-0.59608136357177599</v>
      </c>
      <c r="H8">
        <f>MAX(H7, D8)</f>
        <v>0.59608136357177599</v>
      </c>
      <c r="I8" t="e">
        <f t="shared" si="0"/>
        <v>#VALUE!</v>
      </c>
      <c r="J8" t="e">
        <f>SQRT(SUMXMY2(B8:C8, B7:C7))</f>
        <v>#DIV/0!</v>
      </c>
      <c r="L8">
        <f>IF(F7=0,0,(D8 - F7)/ABS(F7))</f>
        <v>-1</v>
      </c>
    </row>
    <row r="9" spans="1:17" x14ac:dyDescent="0.2">
      <c r="A9" t="s">
        <v>35</v>
      </c>
      <c r="F9">
        <f>MAX(F8, D9)</f>
        <v>0.59608136357177599</v>
      </c>
      <c r="G9">
        <f>D9 - F8</f>
        <v>-0.59608136357177599</v>
      </c>
      <c r="H9">
        <f>MAX(H8, D9)</f>
        <v>0.59608136357177599</v>
      </c>
      <c r="I9" t="e">
        <f t="shared" si="0"/>
        <v>#VALUE!</v>
      </c>
      <c r="J9" t="e">
        <f>SQRT(SUMXMY2(B9:C9, B8:C8))</f>
        <v>#DIV/0!</v>
      </c>
      <c r="L9">
        <f>IF(F8=0,0,(D9 - F8)/ABS(F8))</f>
        <v>-1</v>
      </c>
    </row>
    <row r="10" spans="1:17" x14ac:dyDescent="0.2">
      <c r="A10" t="s">
        <v>36</v>
      </c>
      <c r="F10">
        <f>MAX(F9, D10)</f>
        <v>0.59608136357177599</v>
      </c>
      <c r="G10">
        <f>D10 - F9</f>
        <v>-0.59608136357177599</v>
      </c>
      <c r="H10">
        <f>MAX(H9, D10)</f>
        <v>0.59608136357177599</v>
      </c>
      <c r="I10" t="e">
        <f t="shared" si="0"/>
        <v>#VALUE!</v>
      </c>
      <c r="J10" t="e">
        <f>SQRT(SUMXMY2(B10:C10, B9:C9))</f>
        <v>#DIV/0!</v>
      </c>
      <c r="L10">
        <f>IF(F9=0,0,(D10 - F9)/ABS(F9))</f>
        <v>-1</v>
      </c>
    </row>
    <row r="11" spans="1:17" x14ac:dyDescent="0.2">
      <c r="A11" t="s">
        <v>37</v>
      </c>
      <c r="F11">
        <f>MAX(F10, D11)</f>
        <v>0.59608136357177599</v>
      </c>
      <c r="G11">
        <f>D11 - F10</f>
        <v>-0.59608136357177599</v>
      </c>
      <c r="H11">
        <f>MAX(H10, D11)</f>
        <v>0.59608136357177599</v>
      </c>
      <c r="I11" t="e">
        <f t="shared" si="0"/>
        <v>#VALUE!</v>
      </c>
      <c r="J11" t="e">
        <f>SQRT(SUMXMY2(B11:C11, B10:C10))</f>
        <v>#DIV/0!</v>
      </c>
      <c r="L11">
        <f>IF(F10=0,0,(D11 - F10)/ABS(F10))</f>
        <v>-1</v>
      </c>
    </row>
    <row r="12" spans="1:17" x14ac:dyDescent="0.2">
      <c r="A12" t="s">
        <v>38</v>
      </c>
      <c r="F12">
        <f>MAX(F11, D12)</f>
        <v>0.59608136357177599</v>
      </c>
      <c r="G12">
        <f>D12 - F11</f>
        <v>-0.59608136357177599</v>
      </c>
      <c r="H12">
        <f>MAX(H11, D12)</f>
        <v>0.59608136357177599</v>
      </c>
      <c r="I12" t="e">
        <f t="shared" si="0"/>
        <v>#VALUE!</v>
      </c>
      <c r="J12" t="e">
        <f>SQRT(SUMXMY2(B12:C12, B11:C11))</f>
        <v>#DIV/0!</v>
      </c>
      <c r="L12">
        <f>IF(F11=0,0,(D12 - F11)/ABS(F11))</f>
        <v>-1</v>
      </c>
    </row>
    <row r="13" spans="1:17" x14ac:dyDescent="0.2">
      <c r="A13" t="s">
        <v>39</v>
      </c>
      <c r="F13">
        <f>MAX(F12, D13)</f>
        <v>0.59608136357177599</v>
      </c>
      <c r="G13">
        <f>D13 - F12</f>
        <v>-0.59608136357177599</v>
      </c>
      <c r="H13">
        <f>MAX(H12, D13)</f>
        <v>0.59608136357177599</v>
      </c>
      <c r="I13" t="e">
        <f t="shared" si="0"/>
        <v>#VALUE!</v>
      </c>
      <c r="J13" t="e">
        <f>SQRT(SUMXMY2(B13:C13, B12:C12))</f>
        <v>#DIV/0!</v>
      </c>
      <c r="L13">
        <f>IF(F12=0,0,(D13 - F12)/ABS(F12))</f>
        <v>-1</v>
      </c>
    </row>
    <row r="14" spans="1:17" x14ac:dyDescent="0.2">
      <c r="A14" t="s">
        <v>40</v>
      </c>
      <c r="F14">
        <f>MAX(F13, D14)</f>
        <v>0.59608136357177599</v>
      </c>
      <c r="G14">
        <f>D14 - F13</f>
        <v>-0.59608136357177599</v>
      </c>
      <c r="H14">
        <f>MAX(H13, D14)</f>
        <v>0.59608136357177599</v>
      </c>
      <c r="I14" t="e">
        <f t="shared" si="0"/>
        <v>#VALUE!</v>
      </c>
      <c r="J14" t="e">
        <f>SQRT(SUMXMY2(B14:C14, B13:C13))</f>
        <v>#DIV/0!</v>
      </c>
      <c r="L14">
        <f>IF(F13=0,0,(D14 - F13)/ABS(F13))</f>
        <v>-1</v>
      </c>
    </row>
    <row r="15" spans="1:17" x14ac:dyDescent="0.2">
      <c r="A15" t="s">
        <v>41</v>
      </c>
      <c r="F15">
        <f>MAX(F14, D15)</f>
        <v>0.59608136357177599</v>
      </c>
      <c r="G15">
        <f>D15 - F14</f>
        <v>-0.59608136357177599</v>
      </c>
      <c r="H15">
        <f>MAX(H14, D15)</f>
        <v>0.59608136357177599</v>
      </c>
      <c r="I15" t="e">
        <f t="shared" si="0"/>
        <v>#VALUE!</v>
      </c>
      <c r="J15" t="e">
        <f>SQRT(SUMXMY2(B15:C15, B14:C14))</f>
        <v>#DIV/0!</v>
      </c>
      <c r="L15">
        <f>IF(F14=0,0,(D15 - F14)/ABS(F14))</f>
        <v>-1</v>
      </c>
    </row>
    <row r="16" spans="1:17" x14ac:dyDescent="0.2">
      <c r="A16" t="s">
        <v>42</v>
      </c>
      <c r="F16">
        <f>MAX(F15, D16)</f>
        <v>0.59608136357177599</v>
      </c>
      <c r="G16">
        <f>D16 - F15</f>
        <v>-0.59608136357177599</v>
      </c>
      <c r="H16">
        <f>MAX(H15, D16)</f>
        <v>0.59608136357177599</v>
      </c>
      <c r="I16" t="e">
        <f t="shared" si="0"/>
        <v>#VALUE!</v>
      </c>
      <c r="J16" t="e">
        <f>SQRT(SUMXMY2(B16:C16, B15:C15))</f>
        <v>#DIV/0!</v>
      </c>
      <c r="L16">
        <f>IF(F15=0,0,(D16 - F15)/ABS(F15))</f>
        <v>-1</v>
      </c>
    </row>
    <row r="17" spans="1:12" x14ac:dyDescent="0.2">
      <c r="A17" t="s">
        <v>43</v>
      </c>
      <c r="F17">
        <f>MAX(F16, D17)</f>
        <v>0.59608136357177599</v>
      </c>
      <c r="G17">
        <f>D17 - F16</f>
        <v>-0.59608136357177599</v>
      </c>
      <c r="H17">
        <f>MAX(H16, D17)</f>
        <v>0.59608136357177599</v>
      </c>
      <c r="I17" t="e">
        <f t="shared" si="0"/>
        <v>#VALUE!</v>
      </c>
      <c r="J17" t="e">
        <f>SQRT(SUMXMY2(B17:C17, B16:C16))</f>
        <v>#DIV/0!</v>
      </c>
      <c r="L17">
        <f>IF(F16=0,0,(D17 - F16)/ABS(F16))</f>
        <v>-1</v>
      </c>
    </row>
    <row r="18" spans="1:12" x14ac:dyDescent="0.2">
      <c r="A18" t="s">
        <v>44</v>
      </c>
      <c r="F18">
        <f>MAX(F17, D18)</f>
        <v>0.59608136357177599</v>
      </c>
      <c r="G18">
        <f>D18 - F17</f>
        <v>-0.59608136357177599</v>
      </c>
      <c r="H18">
        <f>MAX(H17, D18)</f>
        <v>0.59608136357177599</v>
      </c>
      <c r="I18" t="e">
        <f t="shared" si="0"/>
        <v>#VALUE!</v>
      </c>
      <c r="J18" t="e">
        <f>SQRT(SUMXMY2(B18:C18, B17:C17))</f>
        <v>#DIV/0!</v>
      </c>
      <c r="L18">
        <f>IF(F17=0,0,(D18 - F17)/ABS(F17))</f>
        <v>-1</v>
      </c>
    </row>
    <row r="19" spans="1:12" x14ac:dyDescent="0.2">
      <c r="A19" t="s">
        <v>45</v>
      </c>
      <c r="F19">
        <f>MAX(F18, D19)</f>
        <v>0.59608136357177599</v>
      </c>
      <c r="G19">
        <f>D19 - F18</f>
        <v>-0.59608136357177599</v>
      </c>
      <c r="H19">
        <f>MAX(H18, D19)</f>
        <v>0.59608136357177599</v>
      </c>
      <c r="I19" t="e">
        <f t="shared" si="0"/>
        <v>#VALUE!</v>
      </c>
      <c r="J19" t="e">
        <f>SQRT(SUMXMY2(B19:C19, B18:C18))</f>
        <v>#DIV/0!</v>
      </c>
      <c r="L19">
        <f>IF(F18=0,0,(D19 - F18)/ABS(F18))</f>
        <v>-1</v>
      </c>
    </row>
    <row r="20" spans="1:12" x14ac:dyDescent="0.2">
      <c r="A20" t="s">
        <v>46</v>
      </c>
      <c r="F20">
        <f>MAX(F19, D20)</f>
        <v>0.59608136357177599</v>
      </c>
      <c r="G20">
        <f>D20 - F19</f>
        <v>-0.59608136357177599</v>
      </c>
      <c r="H20">
        <f>MAX(H19, D20)</f>
        <v>0.59608136357177599</v>
      </c>
      <c r="I20" t="e">
        <f t="shared" si="0"/>
        <v>#VALUE!</v>
      </c>
      <c r="J20" t="e">
        <f>SQRT(SUMXMY2(B20:C20, B19:C19))</f>
        <v>#DIV/0!</v>
      </c>
      <c r="L20">
        <f>IF(F19=0,0,(D20 - F19)/ABS(F19))</f>
        <v>-1</v>
      </c>
    </row>
    <row r="21" spans="1:12" x14ac:dyDescent="0.2">
      <c r="A21" t="s">
        <v>47</v>
      </c>
      <c r="F21">
        <f>MAX(F20, D21)</f>
        <v>0.59608136357177599</v>
      </c>
      <c r="G21">
        <f>D21 - F20</f>
        <v>-0.59608136357177599</v>
      </c>
      <c r="H21">
        <f>MAX(H20, D21)</f>
        <v>0.59608136357177599</v>
      </c>
      <c r="I21" t="e">
        <f t="shared" si="0"/>
        <v>#VALUE!</v>
      </c>
      <c r="J21" t="e">
        <f>SQRT(SUMXMY2(B21:C21, B20:C20))</f>
        <v>#DIV/0!</v>
      </c>
      <c r="L21">
        <f>IF(F20=0,0,(D21 - F20)/ABS(F20))</f>
        <v>-1</v>
      </c>
    </row>
    <row r="22" spans="1:12" x14ac:dyDescent="0.2">
      <c r="F22">
        <f>MAX(F21, D22)</f>
        <v>0.59608136357177599</v>
      </c>
      <c r="G22">
        <f>D22 - F21</f>
        <v>-0.59608136357177599</v>
      </c>
      <c r="H22">
        <f>MAX(H21, D22)</f>
        <v>0.59608136357177599</v>
      </c>
      <c r="I22" t="e">
        <f t="shared" si="0"/>
        <v>#VALUE!</v>
      </c>
      <c r="J22" t="e">
        <f>SQRT(SUMXMY2(B22:C22, B21:C21))</f>
        <v>#DIV/0!</v>
      </c>
      <c r="L22">
        <f>IF(F21=0,0,(D22 - F21)/ABS(F21))</f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8AE3-F895-DF4D-B933-9E9CD4ACFFFB}">
  <dimension ref="A1:R22"/>
  <sheetViews>
    <sheetView workbookViewId="0">
      <selection activeCell="F7" sqref="F7"/>
    </sheetView>
  </sheetViews>
  <sheetFormatPr baseColWidth="10" defaultRowHeight="16" x14ac:dyDescent="0.2"/>
  <cols>
    <col min="1" max="1" width="8.33203125" bestFit="1" customWidth="1"/>
    <col min="2" max="4" width="9.1640625" bestFit="1" customWidth="1"/>
    <col min="5" max="5" width="14" bestFit="1" customWidth="1"/>
    <col min="6" max="6" width="10" bestFit="1" customWidth="1"/>
    <col min="7" max="7" width="11.83203125" bestFit="1" customWidth="1"/>
    <col min="8" max="8" width="12.1640625" bestFit="1" customWidth="1"/>
    <col min="9" max="9" width="14.33203125" bestFit="1" customWidth="1"/>
    <col min="10" max="10" width="8.33203125" bestFit="1" customWidth="1"/>
    <col min="11" max="11" width="20.1640625" bestFit="1" customWidth="1"/>
    <col min="12" max="12" width="14.83203125" bestFit="1" customWidth="1"/>
    <col min="13" max="13" width="22.5" bestFit="1" customWidth="1"/>
    <col min="14" max="14" width="23.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27</v>
      </c>
      <c r="G1" t="s">
        <v>10</v>
      </c>
      <c r="H1" t="s">
        <v>11</v>
      </c>
      <c r="I1" t="s">
        <v>12</v>
      </c>
      <c r="J1" t="s">
        <v>13</v>
      </c>
      <c r="K1" t="s">
        <v>23</v>
      </c>
      <c r="L1" t="s">
        <v>24</v>
      </c>
      <c r="M1" t="s">
        <v>25</v>
      </c>
      <c r="N1" t="s">
        <v>26</v>
      </c>
      <c r="O1" t="s">
        <v>48</v>
      </c>
      <c r="P1" t="s">
        <v>49</v>
      </c>
      <c r="Q1" t="s">
        <v>50</v>
      </c>
      <c r="R1" t="s">
        <v>53</v>
      </c>
    </row>
    <row r="2" spans="1:18" x14ac:dyDescent="0.2">
      <c r="A2" t="s">
        <v>28</v>
      </c>
    </row>
    <row r="3" spans="1:18" x14ac:dyDescent="0.2">
      <c r="A3" t="s">
        <v>29</v>
      </c>
    </row>
    <row r="4" spans="1:18" x14ac:dyDescent="0.2">
      <c r="A4" t="s">
        <v>30</v>
      </c>
      <c r="B4">
        <v>0.26334600000000002</v>
      </c>
      <c r="C4">
        <v>0.13853199999999999</v>
      </c>
      <c r="D4">
        <v>0.36374299999999998</v>
      </c>
      <c r="E4">
        <v>-6.9617631278034095E-2</v>
      </c>
      <c r="F4" s="1">
        <v>-4.8179209676502598E-2</v>
      </c>
      <c r="G4">
        <f>E4</f>
        <v>-6.9617631278034095E-2</v>
      </c>
      <c r="H4">
        <f>0</f>
        <v>0</v>
      </c>
      <c r="I4">
        <f>E4</f>
        <v>-6.9617631278034095E-2</v>
      </c>
      <c r="J4" t="e">
        <f>$L$1 - G4</f>
        <v>#VALUE!</v>
      </c>
      <c r="N4">
        <v>3.2056966814255898</v>
      </c>
      <c r="O4" t="s">
        <v>52</v>
      </c>
      <c r="P4" t="s">
        <v>51</v>
      </c>
      <c r="Q4">
        <v>100</v>
      </c>
      <c r="R4">
        <v>3</v>
      </c>
    </row>
    <row r="5" spans="1:18" x14ac:dyDescent="0.2">
      <c r="A5" t="s">
        <v>31</v>
      </c>
      <c r="B5">
        <v>0.44890000000000002</v>
      </c>
      <c r="C5">
        <v>0.470829</v>
      </c>
      <c r="D5">
        <v>0.41431499999999999</v>
      </c>
      <c r="F5">
        <v>-2.0404412903195002E-2</v>
      </c>
      <c r="G5">
        <f>MAX(G4, E5)</f>
        <v>-6.9617631278034095E-2</v>
      </c>
      <c r="H5">
        <f>E5 - G4</f>
        <v>6.9617631278034095E-2</v>
      </c>
      <c r="I5">
        <f>MAX(I4, E5)</f>
        <v>-6.9617631278034095E-2</v>
      </c>
      <c r="J5" t="e">
        <f>$L$1 - G5</f>
        <v>#VALUE!</v>
      </c>
      <c r="K5">
        <f t="shared" ref="K5:K22" si="0">SQRT(SUMXMY2(B5:D5, B4:D4))</f>
        <v>0.38393894086039254</v>
      </c>
      <c r="M5">
        <f>IF(G4=0,0,(E5 - G4)/ABS(G4))</f>
        <v>1</v>
      </c>
    </row>
    <row r="6" spans="1:18" x14ac:dyDescent="0.2">
      <c r="A6" t="s">
        <v>32</v>
      </c>
      <c r="B6">
        <v>0.35793799999999998</v>
      </c>
      <c r="C6">
        <v>3.8531999999999997E-2</v>
      </c>
      <c r="D6">
        <v>0.51700800000000002</v>
      </c>
      <c r="E6">
        <v>1.12360492046664E-2</v>
      </c>
      <c r="F6">
        <v>-0.11753886432489299</v>
      </c>
      <c r="G6">
        <f t="shared" ref="G6:G22" si="1">MAX(G5, E6)</f>
        <v>1.12360492046664E-2</v>
      </c>
      <c r="H6">
        <f t="shared" ref="H6:H22" si="2">E6 - G5</f>
        <v>8.0853680482700502E-2</v>
      </c>
      <c r="I6">
        <f t="shared" ref="I6:I22" si="3">MAX(I5, E6)</f>
        <v>1.12360492046664E-2</v>
      </c>
      <c r="J6" t="e">
        <f t="shared" ref="J6:J22" si="4">$L$1 - G6</f>
        <v>#VALUE!</v>
      </c>
      <c r="K6">
        <f t="shared" si="0"/>
        <v>0.45354231765293967</v>
      </c>
      <c r="M6">
        <f t="shared" ref="M6:M22" si="5">IF(G5=0,0,(E6 - G5)/ABS(G5))</f>
        <v>1.161396603107518</v>
      </c>
      <c r="N6">
        <v>0.75860396798595198</v>
      </c>
    </row>
    <row r="7" spans="1:18" x14ac:dyDescent="0.2">
      <c r="A7" t="s">
        <v>33</v>
      </c>
      <c r="G7">
        <f t="shared" si="1"/>
        <v>1.12360492046664E-2</v>
      </c>
      <c r="H7">
        <f t="shared" si="2"/>
        <v>-1.12360492046664E-2</v>
      </c>
      <c r="I7">
        <f t="shared" si="3"/>
        <v>1.12360492046664E-2</v>
      </c>
      <c r="J7" t="e">
        <f t="shared" si="4"/>
        <v>#VALUE!</v>
      </c>
      <c r="K7" t="e">
        <f t="shared" si="0"/>
        <v>#DIV/0!</v>
      </c>
      <c r="M7">
        <f t="shared" si="5"/>
        <v>-1</v>
      </c>
    </row>
    <row r="8" spans="1:18" x14ac:dyDescent="0.2">
      <c r="A8" t="s">
        <v>34</v>
      </c>
      <c r="G8">
        <f t="shared" si="1"/>
        <v>1.12360492046664E-2</v>
      </c>
      <c r="H8">
        <f t="shared" si="2"/>
        <v>-1.12360492046664E-2</v>
      </c>
      <c r="I8">
        <f t="shared" si="3"/>
        <v>1.12360492046664E-2</v>
      </c>
      <c r="J8" t="e">
        <f t="shared" si="4"/>
        <v>#VALUE!</v>
      </c>
      <c r="K8" t="e">
        <f t="shared" si="0"/>
        <v>#DIV/0!</v>
      </c>
      <c r="M8">
        <f t="shared" si="5"/>
        <v>-1</v>
      </c>
    </row>
    <row r="9" spans="1:18" x14ac:dyDescent="0.2">
      <c r="A9" t="s">
        <v>35</v>
      </c>
      <c r="G9">
        <f t="shared" si="1"/>
        <v>1.12360492046664E-2</v>
      </c>
      <c r="H9">
        <f t="shared" si="2"/>
        <v>-1.12360492046664E-2</v>
      </c>
      <c r="I9">
        <f t="shared" si="3"/>
        <v>1.12360492046664E-2</v>
      </c>
      <c r="J9" t="e">
        <f t="shared" si="4"/>
        <v>#VALUE!</v>
      </c>
      <c r="K9" t="e">
        <f t="shared" si="0"/>
        <v>#DIV/0!</v>
      </c>
      <c r="M9">
        <f t="shared" si="5"/>
        <v>-1</v>
      </c>
    </row>
    <row r="10" spans="1:18" x14ac:dyDescent="0.2">
      <c r="A10" t="s">
        <v>36</v>
      </c>
      <c r="G10">
        <f t="shared" si="1"/>
        <v>1.12360492046664E-2</v>
      </c>
      <c r="H10">
        <f t="shared" si="2"/>
        <v>-1.12360492046664E-2</v>
      </c>
      <c r="I10">
        <f t="shared" si="3"/>
        <v>1.12360492046664E-2</v>
      </c>
      <c r="J10" t="e">
        <f t="shared" si="4"/>
        <v>#VALUE!</v>
      </c>
      <c r="K10" t="e">
        <f t="shared" si="0"/>
        <v>#DIV/0!</v>
      </c>
      <c r="M10">
        <f t="shared" si="5"/>
        <v>-1</v>
      </c>
    </row>
    <row r="11" spans="1:18" x14ac:dyDescent="0.2">
      <c r="A11" t="s">
        <v>37</v>
      </c>
      <c r="G11">
        <f t="shared" si="1"/>
        <v>1.12360492046664E-2</v>
      </c>
      <c r="H11">
        <f t="shared" si="2"/>
        <v>-1.12360492046664E-2</v>
      </c>
      <c r="I11">
        <f t="shared" si="3"/>
        <v>1.12360492046664E-2</v>
      </c>
      <c r="J11" t="e">
        <f t="shared" si="4"/>
        <v>#VALUE!</v>
      </c>
      <c r="K11" t="e">
        <f t="shared" si="0"/>
        <v>#DIV/0!</v>
      </c>
      <c r="M11">
        <f t="shared" si="5"/>
        <v>-1</v>
      </c>
    </row>
    <row r="12" spans="1:18" x14ac:dyDescent="0.2">
      <c r="A12" t="s">
        <v>38</v>
      </c>
      <c r="G12">
        <f t="shared" si="1"/>
        <v>1.12360492046664E-2</v>
      </c>
      <c r="H12">
        <f t="shared" si="2"/>
        <v>-1.12360492046664E-2</v>
      </c>
      <c r="I12">
        <f t="shared" si="3"/>
        <v>1.12360492046664E-2</v>
      </c>
      <c r="J12" t="e">
        <f t="shared" si="4"/>
        <v>#VALUE!</v>
      </c>
      <c r="K12" t="e">
        <f t="shared" si="0"/>
        <v>#DIV/0!</v>
      </c>
      <c r="M12">
        <f t="shared" si="5"/>
        <v>-1</v>
      </c>
    </row>
    <row r="13" spans="1:18" x14ac:dyDescent="0.2">
      <c r="A13" t="s">
        <v>39</v>
      </c>
      <c r="G13">
        <f t="shared" si="1"/>
        <v>1.12360492046664E-2</v>
      </c>
      <c r="H13">
        <f t="shared" si="2"/>
        <v>-1.12360492046664E-2</v>
      </c>
      <c r="I13">
        <f t="shared" si="3"/>
        <v>1.12360492046664E-2</v>
      </c>
      <c r="J13" t="e">
        <f t="shared" si="4"/>
        <v>#VALUE!</v>
      </c>
      <c r="K13" t="e">
        <f t="shared" si="0"/>
        <v>#DIV/0!</v>
      </c>
      <c r="M13">
        <f t="shared" si="5"/>
        <v>-1</v>
      </c>
    </row>
    <row r="14" spans="1:18" x14ac:dyDescent="0.2">
      <c r="A14" t="s">
        <v>40</v>
      </c>
      <c r="G14">
        <f t="shared" si="1"/>
        <v>1.12360492046664E-2</v>
      </c>
      <c r="H14">
        <f t="shared" si="2"/>
        <v>-1.12360492046664E-2</v>
      </c>
      <c r="I14">
        <f t="shared" si="3"/>
        <v>1.12360492046664E-2</v>
      </c>
      <c r="J14" t="e">
        <f t="shared" si="4"/>
        <v>#VALUE!</v>
      </c>
      <c r="K14" t="e">
        <f t="shared" si="0"/>
        <v>#DIV/0!</v>
      </c>
      <c r="M14">
        <f t="shared" si="5"/>
        <v>-1</v>
      </c>
    </row>
    <row r="15" spans="1:18" x14ac:dyDescent="0.2">
      <c r="A15" t="s">
        <v>41</v>
      </c>
      <c r="G15">
        <f t="shared" si="1"/>
        <v>1.12360492046664E-2</v>
      </c>
      <c r="H15">
        <f t="shared" si="2"/>
        <v>-1.12360492046664E-2</v>
      </c>
      <c r="I15">
        <f t="shared" si="3"/>
        <v>1.12360492046664E-2</v>
      </c>
      <c r="J15" t="e">
        <f t="shared" si="4"/>
        <v>#VALUE!</v>
      </c>
      <c r="K15" t="e">
        <f t="shared" si="0"/>
        <v>#DIV/0!</v>
      </c>
      <c r="M15">
        <f t="shared" si="5"/>
        <v>-1</v>
      </c>
    </row>
    <row r="16" spans="1:18" x14ac:dyDescent="0.2">
      <c r="A16" t="s">
        <v>42</v>
      </c>
      <c r="G16">
        <f t="shared" si="1"/>
        <v>1.12360492046664E-2</v>
      </c>
      <c r="H16">
        <f t="shared" si="2"/>
        <v>-1.12360492046664E-2</v>
      </c>
      <c r="I16">
        <f t="shared" si="3"/>
        <v>1.12360492046664E-2</v>
      </c>
      <c r="J16" t="e">
        <f t="shared" si="4"/>
        <v>#VALUE!</v>
      </c>
      <c r="K16" t="e">
        <f t="shared" si="0"/>
        <v>#DIV/0!</v>
      </c>
      <c r="M16">
        <f t="shared" si="5"/>
        <v>-1</v>
      </c>
    </row>
    <row r="17" spans="1:13" x14ac:dyDescent="0.2">
      <c r="A17" t="s">
        <v>43</v>
      </c>
      <c r="G17">
        <f t="shared" si="1"/>
        <v>1.12360492046664E-2</v>
      </c>
      <c r="H17">
        <f t="shared" si="2"/>
        <v>-1.12360492046664E-2</v>
      </c>
      <c r="I17">
        <f t="shared" si="3"/>
        <v>1.12360492046664E-2</v>
      </c>
      <c r="J17" t="e">
        <f t="shared" si="4"/>
        <v>#VALUE!</v>
      </c>
      <c r="K17" t="e">
        <f t="shared" si="0"/>
        <v>#DIV/0!</v>
      </c>
      <c r="M17">
        <f t="shared" si="5"/>
        <v>-1</v>
      </c>
    </row>
    <row r="18" spans="1:13" x14ac:dyDescent="0.2">
      <c r="A18" t="s">
        <v>44</v>
      </c>
      <c r="G18">
        <f t="shared" si="1"/>
        <v>1.12360492046664E-2</v>
      </c>
      <c r="H18">
        <f t="shared" si="2"/>
        <v>-1.12360492046664E-2</v>
      </c>
      <c r="I18">
        <f t="shared" si="3"/>
        <v>1.12360492046664E-2</v>
      </c>
      <c r="J18" t="e">
        <f t="shared" si="4"/>
        <v>#VALUE!</v>
      </c>
      <c r="K18" t="e">
        <f t="shared" si="0"/>
        <v>#DIV/0!</v>
      </c>
      <c r="M18">
        <f t="shared" si="5"/>
        <v>-1</v>
      </c>
    </row>
    <row r="19" spans="1:13" x14ac:dyDescent="0.2">
      <c r="A19" t="s">
        <v>45</v>
      </c>
      <c r="G19">
        <f t="shared" si="1"/>
        <v>1.12360492046664E-2</v>
      </c>
      <c r="H19">
        <f t="shared" si="2"/>
        <v>-1.12360492046664E-2</v>
      </c>
      <c r="I19">
        <f t="shared" si="3"/>
        <v>1.12360492046664E-2</v>
      </c>
      <c r="J19" t="e">
        <f t="shared" si="4"/>
        <v>#VALUE!</v>
      </c>
      <c r="K19" t="e">
        <f t="shared" si="0"/>
        <v>#DIV/0!</v>
      </c>
      <c r="M19">
        <f t="shared" si="5"/>
        <v>-1</v>
      </c>
    </row>
    <row r="20" spans="1:13" x14ac:dyDescent="0.2">
      <c r="A20" t="s">
        <v>46</v>
      </c>
      <c r="G20">
        <f t="shared" si="1"/>
        <v>1.12360492046664E-2</v>
      </c>
      <c r="H20">
        <f t="shared" si="2"/>
        <v>-1.12360492046664E-2</v>
      </c>
      <c r="I20">
        <f t="shared" si="3"/>
        <v>1.12360492046664E-2</v>
      </c>
      <c r="J20" t="e">
        <f t="shared" si="4"/>
        <v>#VALUE!</v>
      </c>
      <c r="K20" t="e">
        <f t="shared" si="0"/>
        <v>#DIV/0!</v>
      </c>
      <c r="M20">
        <f t="shared" si="5"/>
        <v>-1</v>
      </c>
    </row>
    <row r="21" spans="1:13" x14ac:dyDescent="0.2">
      <c r="A21" t="s">
        <v>47</v>
      </c>
      <c r="G21">
        <f t="shared" si="1"/>
        <v>1.12360492046664E-2</v>
      </c>
      <c r="H21">
        <f t="shared" si="2"/>
        <v>-1.12360492046664E-2</v>
      </c>
      <c r="I21">
        <f t="shared" si="3"/>
        <v>1.12360492046664E-2</v>
      </c>
      <c r="J21" t="e">
        <f t="shared" si="4"/>
        <v>#VALUE!</v>
      </c>
      <c r="K21" t="e">
        <f t="shared" si="0"/>
        <v>#DIV/0!</v>
      </c>
      <c r="M21">
        <f t="shared" si="5"/>
        <v>-1</v>
      </c>
    </row>
    <row r="22" spans="1:13" x14ac:dyDescent="0.2">
      <c r="G22">
        <f t="shared" si="1"/>
        <v>1.12360492046664E-2</v>
      </c>
      <c r="H22">
        <f t="shared" si="2"/>
        <v>-1.12360492046664E-2</v>
      </c>
      <c r="I22">
        <f t="shared" si="3"/>
        <v>1.12360492046664E-2</v>
      </c>
      <c r="J22" t="e">
        <f t="shared" si="4"/>
        <v>#VALUE!</v>
      </c>
      <c r="K22" t="e">
        <f t="shared" si="0"/>
        <v>#DIV/0!</v>
      </c>
      <c r="M22">
        <f t="shared" si="5"/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7817D-B892-014D-8EF8-4BB73E0247FF}">
  <dimension ref="A1:S22"/>
  <sheetViews>
    <sheetView workbookViewId="0">
      <selection activeCell="O7" sqref="O7"/>
    </sheetView>
  </sheetViews>
  <sheetFormatPr baseColWidth="10" defaultRowHeight="16" x14ac:dyDescent="0.2"/>
  <cols>
    <col min="1" max="1" width="8.33203125" bestFit="1" customWidth="1"/>
    <col min="2" max="5" width="9.1640625" bestFit="1" customWidth="1"/>
    <col min="6" max="6" width="14" bestFit="1" customWidth="1"/>
    <col min="7" max="7" width="10" bestFit="1" customWidth="1"/>
    <col min="8" max="8" width="11.83203125" bestFit="1" customWidth="1"/>
    <col min="9" max="9" width="12.1640625" bestFit="1" customWidth="1"/>
    <col min="10" max="10" width="14.33203125" bestFit="1" customWidth="1"/>
    <col min="11" max="11" width="8.33203125" bestFit="1" customWidth="1"/>
    <col min="12" max="12" width="20.1640625" bestFit="1" customWidth="1"/>
    <col min="13" max="13" width="14.83203125" bestFit="1" customWidth="1"/>
    <col min="14" max="14" width="22.5" bestFit="1" customWidth="1"/>
    <col min="15" max="15" width="23.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27</v>
      </c>
      <c r="H1" t="s">
        <v>10</v>
      </c>
      <c r="I1" t="s">
        <v>11</v>
      </c>
      <c r="J1" t="s">
        <v>12</v>
      </c>
      <c r="K1" t="s">
        <v>13</v>
      </c>
      <c r="L1" t="s">
        <v>23</v>
      </c>
      <c r="M1" t="s">
        <v>24</v>
      </c>
      <c r="N1" t="s">
        <v>25</v>
      </c>
      <c r="O1" t="s">
        <v>26</v>
      </c>
      <c r="P1" t="s">
        <v>48</v>
      </c>
      <c r="Q1" t="s">
        <v>49</v>
      </c>
      <c r="R1" t="s">
        <v>50</v>
      </c>
      <c r="S1" t="s">
        <v>53</v>
      </c>
    </row>
    <row r="2" spans="1:19" x14ac:dyDescent="0.2">
      <c r="A2" t="s">
        <v>28</v>
      </c>
    </row>
    <row r="3" spans="1:19" x14ac:dyDescent="0.2">
      <c r="A3" t="s">
        <v>29</v>
      </c>
    </row>
    <row r="4" spans="1:19" x14ac:dyDescent="0.2">
      <c r="A4" t="s">
        <v>30</v>
      </c>
      <c r="B4">
        <v>0.52911399999999997</v>
      </c>
      <c r="C4">
        <v>0.378577</v>
      </c>
      <c r="D4">
        <v>0.40757700000000002</v>
      </c>
      <c r="E4">
        <v>0.15090500000000001</v>
      </c>
      <c r="F4">
        <v>-7.6449091055462297</v>
      </c>
      <c r="G4" s="1">
        <v>-5.3133744471606201</v>
      </c>
      <c r="H4">
        <f>F4</f>
        <v>-7.6449091055462297</v>
      </c>
      <c r="I4">
        <f>0</f>
        <v>0</v>
      </c>
      <c r="J4">
        <f>F4</f>
        <v>-7.6449091055462297</v>
      </c>
      <c r="K4" t="e">
        <f>$M$1 - H4</f>
        <v>#VALUE!</v>
      </c>
      <c r="O4">
        <v>3.5928358551792399</v>
      </c>
      <c r="P4" t="s">
        <v>52</v>
      </c>
      <c r="Q4" t="s">
        <v>51</v>
      </c>
      <c r="R4">
        <v>100</v>
      </c>
      <c r="S4">
        <v>3</v>
      </c>
    </row>
    <row r="5" spans="1:19" x14ac:dyDescent="0.2">
      <c r="A5" t="s">
        <v>31</v>
      </c>
      <c r="B5">
        <v>0.111733</v>
      </c>
      <c r="C5">
        <v>4.1201000000000002E-2</v>
      </c>
      <c r="D5">
        <v>0.54054500000000005</v>
      </c>
      <c r="E5">
        <v>0.286416</v>
      </c>
      <c r="G5">
        <v>-12.867749036987799</v>
      </c>
      <c r="H5">
        <f>MAX(H4, F5)</f>
        <v>-7.6449091055462297</v>
      </c>
      <c r="I5">
        <f>F5 - H4</f>
        <v>7.6449091055462297</v>
      </c>
      <c r="J5">
        <f>MAX(J4, F5)</f>
        <v>-7.6449091055462297</v>
      </c>
      <c r="K5" t="e">
        <f>$M$1 - H5</f>
        <v>#VALUE!</v>
      </c>
      <c r="L5">
        <f t="shared" ref="L5:L22" si="0">SQRT(SUMXMY2(B5:E5, B4:E4))</f>
        <v>0.56927426139076409</v>
      </c>
      <c r="N5">
        <f>IF(H4=0,0,(F5 - H4)/ABS(H4))</f>
        <v>1</v>
      </c>
    </row>
    <row r="6" spans="1:19" x14ac:dyDescent="0.2">
      <c r="A6" t="s">
        <v>32</v>
      </c>
      <c r="B6">
        <v>0.34361199999999997</v>
      </c>
      <c r="C6">
        <v>0.59224900000000003</v>
      </c>
      <c r="D6">
        <v>0.65135299999999996</v>
      </c>
      <c r="E6">
        <v>0.44451299999999999</v>
      </c>
      <c r="F6">
        <v>-9.0442840794220807</v>
      </c>
      <c r="G6">
        <v>-7.2215701283860296</v>
      </c>
      <c r="H6">
        <f t="shared" ref="H6:H22" si="1">MAX(H5, F6)</f>
        <v>-7.6449091055462297</v>
      </c>
      <c r="I6">
        <f t="shared" ref="I6:I22" si="2">F6 - H5</f>
        <v>-1.399374973875851</v>
      </c>
      <c r="J6">
        <f t="shared" ref="J6:J22" si="3">MAX(J5, F6)</f>
        <v>-7.6449091055462297</v>
      </c>
      <c r="K6" t="e">
        <f t="shared" ref="K6:K22" si="4">$M$1 - H6</f>
        <v>#VALUE!</v>
      </c>
      <c r="L6">
        <f t="shared" si="0"/>
        <v>0.62824743789210946</v>
      </c>
      <c r="N6">
        <f t="shared" ref="N6:N22" si="5">IF(H5=0,0,(F6 - H5)/ABS(H5))</f>
        <v>-0.18304664640952137</v>
      </c>
      <c r="O6">
        <v>2.8049610847976501E-2</v>
      </c>
    </row>
    <row r="7" spans="1:19" x14ac:dyDescent="0.2">
      <c r="A7" t="s">
        <v>33</v>
      </c>
      <c r="H7">
        <f t="shared" si="1"/>
        <v>-7.6449091055462297</v>
      </c>
      <c r="I7">
        <f t="shared" si="2"/>
        <v>7.6449091055462297</v>
      </c>
      <c r="J7">
        <f t="shared" si="3"/>
        <v>-7.6449091055462297</v>
      </c>
      <c r="K7" t="e">
        <f t="shared" si="4"/>
        <v>#VALUE!</v>
      </c>
      <c r="L7" t="e">
        <f t="shared" si="0"/>
        <v>#DIV/0!</v>
      </c>
      <c r="N7">
        <f t="shared" si="5"/>
        <v>1</v>
      </c>
    </row>
    <row r="8" spans="1:19" x14ac:dyDescent="0.2">
      <c r="A8" t="s">
        <v>34</v>
      </c>
      <c r="H8">
        <f t="shared" si="1"/>
        <v>-7.6449091055462297</v>
      </c>
      <c r="I8">
        <f t="shared" si="2"/>
        <v>7.6449091055462297</v>
      </c>
      <c r="J8">
        <f t="shared" si="3"/>
        <v>-7.6449091055462297</v>
      </c>
      <c r="K8" t="e">
        <f t="shared" si="4"/>
        <v>#VALUE!</v>
      </c>
      <c r="L8" t="e">
        <f t="shared" si="0"/>
        <v>#DIV/0!</v>
      </c>
      <c r="N8">
        <f t="shared" si="5"/>
        <v>1</v>
      </c>
    </row>
    <row r="9" spans="1:19" x14ac:dyDescent="0.2">
      <c r="A9" t="s">
        <v>35</v>
      </c>
      <c r="H9">
        <f t="shared" si="1"/>
        <v>-7.6449091055462297</v>
      </c>
      <c r="I9">
        <f t="shared" si="2"/>
        <v>7.6449091055462297</v>
      </c>
      <c r="J9">
        <f t="shared" si="3"/>
        <v>-7.6449091055462297</v>
      </c>
      <c r="K9" t="e">
        <f t="shared" si="4"/>
        <v>#VALUE!</v>
      </c>
      <c r="L9" t="e">
        <f t="shared" si="0"/>
        <v>#DIV/0!</v>
      </c>
      <c r="N9">
        <f t="shared" si="5"/>
        <v>1</v>
      </c>
    </row>
    <row r="10" spans="1:19" x14ac:dyDescent="0.2">
      <c r="A10" t="s">
        <v>36</v>
      </c>
      <c r="H10">
        <f t="shared" si="1"/>
        <v>-7.6449091055462297</v>
      </c>
      <c r="I10">
        <f t="shared" si="2"/>
        <v>7.6449091055462297</v>
      </c>
      <c r="J10">
        <f t="shared" si="3"/>
        <v>-7.6449091055462297</v>
      </c>
      <c r="K10" t="e">
        <f t="shared" si="4"/>
        <v>#VALUE!</v>
      </c>
      <c r="L10" t="e">
        <f t="shared" si="0"/>
        <v>#DIV/0!</v>
      </c>
      <c r="N10">
        <f t="shared" si="5"/>
        <v>1</v>
      </c>
    </row>
    <row r="11" spans="1:19" x14ac:dyDescent="0.2">
      <c r="A11" t="s">
        <v>37</v>
      </c>
      <c r="H11">
        <f t="shared" si="1"/>
        <v>-7.6449091055462297</v>
      </c>
      <c r="I11">
        <f t="shared" si="2"/>
        <v>7.6449091055462297</v>
      </c>
      <c r="J11">
        <f t="shared" si="3"/>
        <v>-7.6449091055462297</v>
      </c>
      <c r="K11" t="e">
        <f t="shared" si="4"/>
        <v>#VALUE!</v>
      </c>
      <c r="L11" t="e">
        <f t="shared" si="0"/>
        <v>#DIV/0!</v>
      </c>
      <c r="N11">
        <f t="shared" si="5"/>
        <v>1</v>
      </c>
    </row>
    <row r="12" spans="1:19" x14ac:dyDescent="0.2">
      <c r="A12" t="s">
        <v>38</v>
      </c>
      <c r="H12">
        <f t="shared" si="1"/>
        <v>-7.6449091055462297</v>
      </c>
      <c r="I12">
        <f t="shared" si="2"/>
        <v>7.6449091055462297</v>
      </c>
      <c r="J12">
        <f t="shared" si="3"/>
        <v>-7.6449091055462297</v>
      </c>
      <c r="K12" t="e">
        <f t="shared" si="4"/>
        <v>#VALUE!</v>
      </c>
      <c r="L12" t="e">
        <f t="shared" si="0"/>
        <v>#DIV/0!</v>
      </c>
      <c r="N12">
        <f t="shared" si="5"/>
        <v>1</v>
      </c>
    </row>
    <row r="13" spans="1:19" x14ac:dyDescent="0.2">
      <c r="A13" t="s">
        <v>39</v>
      </c>
      <c r="H13">
        <f t="shared" si="1"/>
        <v>-7.6449091055462297</v>
      </c>
      <c r="I13">
        <f t="shared" si="2"/>
        <v>7.6449091055462297</v>
      </c>
      <c r="J13">
        <f t="shared" si="3"/>
        <v>-7.6449091055462297</v>
      </c>
      <c r="K13" t="e">
        <f t="shared" si="4"/>
        <v>#VALUE!</v>
      </c>
      <c r="L13" t="e">
        <f t="shared" si="0"/>
        <v>#DIV/0!</v>
      </c>
      <c r="N13">
        <f t="shared" si="5"/>
        <v>1</v>
      </c>
    </row>
    <row r="14" spans="1:19" x14ac:dyDescent="0.2">
      <c r="A14" t="s">
        <v>40</v>
      </c>
      <c r="H14">
        <f t="shared" si="1"/>
        <v>-7.6449091055462297</v>
      </c>
      <c r="I14">
        <f t="shared" si="2"/>
        <v>7.6449091055462297</v>
      </c>
      <c r="J14">
        <f t="shared" si="3"/>
        <v>-7.6449091055462297</v>
      </c>
      <c r="K14" t="e">
        <f t="shared" si="4"/>
        <v>#VALUE!</v>
      </c>
      <c r="L14" t="e">
        <f t="shared" si="0"/>
        <v>#DIV/0!</v>
      </c>
      <c r="N14">
        <f t="shared" si="5"/>
        <v>1</v>
      </c>
    </row>
    <row r="15" spans="1:19" x14ac:dyDescent="0.2">
      <c r="A15" t="s">
        <v>41</v>
      </c>
      <c r="H15">
        <f t="shared" si="1"/>
        <v>-7.6449091055462297</v>
      </c>
      <c r="I15">
        <f t="shared" si="2"/>
        <v>7.6449091055462297</v>
      </c>
      <c r="J15">
        <f t="shared" si="3"/>
        <v>-7.6449091055462297</v>
      </c>
      <c r="K15" t="e">
        <f t="shared" si="4"/>
        <v>#VALUE!</v>
      </c>
      <c r="L15" t="e">
        <f t="shared" si="0"/>
        <v>#DIV/0!</v>
      </c>
      <c r="N15">
        <f t="shared" si="5"/>
        <v>1</v>
      </c>
    </row>
    <row r="16" spans="1:19" x14ac:dyDescent="0.2">
      <c r="A16" t="s">
        <v>42</v>
      </c>
      <c r="H16">
        <f t="shared" si="1"/>
        <v>-7.6449091055462297</v>
      </c>
      <c r="I16">
        <f t="shared" si="2"/>
        <v>7.6449091055462297</v>
      </c>
      <c r="J16">
        <f t="shared" si="3"/>
        <v>-7.6449091055462297</v>
      </c>
      <c r="K16" t="e">
        <f t="shared" si="4"/>
        <v>#VALUE!</v>
      </c>
      <c r="L16" t="e">
        <f t="shared" si="0"/>
        <v>#DIV/0!</v>
      </c>
      <c r="N16">
        <f t="shared" si="5"/>
        <v>1</v>
      </c>
    </row>
    <row r="17" spans="1:14" x14ac:dyDescent="0.2">
      <c r="A17" t="s">
        <v>43</v>
      </c>
      <c r="H17">
        <f t="shared" si="1"/>
        <v>-7.6449091055462297</v>
      </c>
      <c r="I17">
        <f t="shared" si="2"/>
        <v>7.6449091055462297</v>
      </c>
      <c r="J17">
        <f t="shared" si="3"/>
        <v>-7.6449091055462297</v>
      </c>
      <c r="K17" t="e">
        <f t="shared" si="4"/>
        <v>#VALUE!</v>
      </c>
      <c r="L17" t="e">
        <f t="shared" si="0"/>
        <v>#DIV/0!</v>
      </c>
      <c r="N17">
        <f t="shared" si="5"/>
        <v>1</v>
      </c>
    </row>
    <row r="18" spans="1:14" x14ac:dyDescent="0.2">
      <c r="A18" t="s">
        <v>44</v>
      </c>
      <c r="H18">
        <f t="shared" si="1"/>
        <v>-7.6449091055462297</v>
      </c>
      <c r="I18">
        <f t="shared" si="2"/>
        <v>7.6449091055462297</v>
      </c>
      <c r="J18">
        <f t="shared" si="3"/>
        <v>-7.6449091055462297</v>
      </c>
      <c r="K18" t="e">
        <f t="shared" si="4"/>
        <v>#VALUE!</v>
      </c>
      <c r="L18" t="e">
        <f t="shared" si="0"/>
        <v>#DIV/0!</v>
      </c>
      <c r="N18">
        <f t="shared" si="5"/>
        <v>1</v>
      </c>
    </row>
    <row r="19" spans="1:14" x14ac:dyDescent="0.2">
      <c r="A19" t="s">
        <v>45</v>
      </c>
      <c r="H19">
        <f t="shared" si="1"/>
        <v>-7.6449091055462297</v>
      </c>
      <c r="I19">
        <f t="shared" si="2"/>
        <v>7.6449091055462297</v>
      </c>
      <c r="J19">
        <f t="shared" si="3"/>
        <v>-7.6449091055462297</v>
      </c>
      <c r="K19" t="e">
        <f t="shared" si="4"/>
        <v>#VALUE!</v>
      </c>
      <c r="L19" t="e">
        <f t="shared" si="0"/>
        <v>#DIV/0!</v>
      </c>
      <c r="N19">
        <f t="shared" si="5"/>
        <v>1</v>
      </c>
    </row>
    <row r="20" spans="1:14" x14ac:dyDescent="0.2">
      <c r="A20" t="s">
        <v>46</v>
      </c>
      <c r="H20">
        <f t="shared" si="1"/>
        <v>-7.6449091055462297</v>
      </c>
      <c r="I20">
        <f t="shared" si="2"/>
        <v>7.6449091055462297</v>
      </c>
      <c r="J20">
        <f t="shared" si="3"/>
        <v>-7.6449091055462297</v>
      </c>
      <c r="K20" t="e">
        <f t="shared" si="4"/>
        <v>#VALUE!</v>
      </c>
      <c r="L20" t="e">
        <f t="shared" si="0"/>
        <v>#DIV/0!</v>
      </c>
      <c r="N20">
        <f t="shared" si="5"/>
        <v>1</v>
      </c>
    </row>
    <row r="21" spans="1:14" x14ac:dyDescent="0.2">
      <c r="A21" t="s">
        <v>47</v>
      </c>
      <c r="H21">
        <f t="shared" si="1"/>
        <v>-7.6449091055462297</v>
      </c>
      <c r="I21">
        <f t="shared" si="2"/>
        <v>7.6449091055462297</v>
      </c>
      <c r="J21">
        <f t="shared" si="3"/>
        <v>-7.6449091055462297</v>
      </c>
      <c r="K21" t="e">
        <f t="shared" si="4"/>
        <v>#VALUE!</v>
      </c>
      <c r="L21" t="e">
        <f t="shared" si="0"/>
        <v>#DIV/0!</v>
      </c>
      <c r="N21">
        <f t="shared" si="5"/>
        <v>1</v>
      </c>
    </row>
    <row r="22" spans="1:14" x14ac:dyDescent="0.2">
      <c r="H22">
        <f t="shared" si="1"/>
        <v>-7.6449091055462297</v>
      </c>
      <c r="I22">
        <f t="shared" si="2"/>
        <v>7.6449091055462297</v>
      </c>
      <c r="J22">
        <f t="shared" si="3"/>
        <v>-7.6449091055462297</v>
      </c>
      <c r="K22" t="e">
        <f t="shared" si="4"/>
        <v>#VALUE!</v>
      </c>
      <c r="L22" t="e">
        <f t="shared" si="0"/>
        <v>#DIV/0!</v>
      </c>
      <c r="N22">
        <f t="shared" si="5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6451-7D82-EB47-81B8-BA0DC250648D}">
  <dimension ref="A1:S22"/>
  <sheetViews>
    <sheetView workbookViewId="0">
      <selection activeCell="N18" sqref="N18"/>
    </sheetView>
  </sheetViews>
  <sheetFormatPr baseColWidth="10" defaultRowHeight="16" x14ac:dyDescent="0.2"/>
  <cols>
    <col min="1" max="1" width="8.33203125" bestFit="1" customWidth="1"/>
    <col min="2" max="4" width="9.1640625" bestFit="1" customWidth="1"/>
    <col min="5" max="5" width="8.1640625" bestFit="1" customWidth="1"/>
    <col min="6" max="6" width="14" bestFit="1" customWidth="1"/>
    <col min="7" max="7" width="10" bestFit="1" customWidth="1"/>
    <col min="8" max="8" width="11.83203125" bestFit="1" customWidth="1"/>
    <col min="9" max="9" width="12.1640625" bestFit="1" customWidth="1"/>
    <col min="10" max="10" width="14.33203125" bestFit="1" customWidth="1"/>
    <col min="11" max="11" width="8.33203125" bestFit="1" customWidth="1"/>
    <col min="12" max="12" width="20.1640625" bestFit="1" customWidth="1"/>
    <col min="13" max="13" width="14.83203125" bestFit="1" customWidth="1"/>
    <col min="14" max="14" width="22.5" bestFit="1" customWidth="1"/>
    <col min="15" max="15" width="23.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27</v>
      </c>
      <c r="H1" t="s">
        <v>10</v>
      </c>
      <c r="I1" t="s">
        <v>11</v>
      </c>
      <c r="J1" t="s">
        <v>12</v>
      </c>
      <c r="K1" t="s">
        <v>13</v>
      </c>
      <c r="L1" t="s">
        <v>23</v>
      </c>
      <c r="M1" t="s">
        <v>24</v>
      </c>
      <c r="N1" t="s">
        <v>25</v>
      </c>
      <c r="O1" t="s">
        <v>26</v>
      </c>
      <c r="P1" t="s">
        <v>48</v>
      </c>
      <c r="Q1" t="s">
        <v>49</v>
      </c>
      <c r="R1" t="s">
        <v>50</v>
      </c>
      <c r="S1" t="s">
        <v>53</v>
      </c>
    </row>
    <row r="2" spans="1:19" x14ac:dyDescent="0.2">
      <c r="A2" t="s">
        <v>28</v>
      </c>
    </row>
    <row r="3" spans="1:19" x14ac:dyDescent="0.2">
      <c r="A3" t="s">
        <v>29</v>
      </c>
    </row>
    <row r="4" spans="1:19" x14ac:dyDescent="0.2">
      <c r="A4" t="s">
        <v>30</v>
      </c>
      <c r="B4">
        <v>0.25478600000000001</v>
      </c>
      <c r="C4">
        <v>0.80296900000000004</v>
      </c>
      <c r="D4">
        <v>0.85504500000000005</v>
      </c>
      <c r="E4">
        <v>0.93772</v>
      </c>
      <c r="F4">
        <v>844.32419631121695</v>
      </c>
      <c r="G4" s="1">
        <v>1118.87254690081</v>
      </c>
      <c r="H4">
        <f>F4</f>
        <v>844.32419631121695</v>
      </c>
      <c r="I4">
        <f>0</f>
        <v>0</v>
      </c>
      <c r="J4">
        <f>F4</f>
        <v>844.32419631121695</v>
      </c>
      <c r="K4" t="e">
        <f>$M$1 - H4</f>
        <v>#VALUE!</v>
      </c>
      <c r="O4">
        <v>4.2039649007180504</v>
      </c>
      <c r="P4" t="s">
        <v>52</v>
      </c>
      <c r="Q4" t="s">
        <v>51</v>
      </c>
      <c r="R4">
        <v>100</v>
      </c>
      <c r="S4">
        <v>3</v>
      </c>
    </row>
    <row r="5" spans="1:19" x14ac:dyDescent="0.2">
      <c r="A5" t="s">
        <v>31</v>
      </c>
      <c r="B5">
        <v>0.24208499999999999</v>
      </c>
      <c r="C5">
        <v>0.84872400000000003</v>
      </c>
      <c r="D5">
        <v>0.46920699999999999</v>
      </c>
      <c r="E5">
        <v>0.89328600000000002</v>
      </c>
      <c r="G5">
        <v>386.68187399040897</v>
      </c>
      <c r="H5">
        <f>MAX(H4, F5)</f>
        <v>844.32419631121695</v>
      </c>
      <c r="I5">
        <f>F5 - H4</f>
        <v>-844.32419631121695</v>
      </c>
      <c r="J5">
        <f>MAX(J4, F5)</f>
        <v>844.32419631121695</v>
      </c>
      <c r="K5" t="e">
        <f>$M$1 - H5</f>
        <v>#VALUE!</v>
      </c>
      <c r="L5">
        <f t="shared" ref="L5:L22" si="0">SQRT(SUMXMY2(B5:E5, B4:E4))</f>
        <v>0.3912801784220612</v>
      </c>
      <c r="N5">
        <f>IF(H4=0,0,(F5 - H4)/ABS(H4))</f>
        <v>-1</v>
      </c>
    </row>
    <row r="6" spans="1:19" x14ac:dyDescent="0.2">
      <c r="A6" t="s">
        <v>32</v>
      </c>
      <c r="B6">
        <v>0.26305800000000001</v>
      </c>
      <c r="C6">
        <v>0.96253999999999995</v>
      </c>
      <c r="D6">
        <v>0.97948400000000002</v>
      </c>
      <c r="E6">
        <v>1.057644</v>
      </c>
      <c r="F6">
        <v>1360.3875025566599</v>
      </c>
      <c r="G6">
        <v>4564.3288572194997</v>
      </c>
      <c r="H6">
        <f t="shared" ref="H6:H22" si="1">MAX(H5, F6)</f>
        <v>1360.3875025566599</v>
      </c>
      <c r="I6">
        <f t="shared" ref="I6:I22" si="2">F6 - H5</f>
        <v>516.06330624544296</v>
      </c>
      <c r="J6">
        <f t="shared" ref="J6:J22" si="3">MAX(J5, F6)</f>
        <v>1360.3875025566599</v>
      </c>
      <c r="K6" t="e">
        <f t="shared" ref="K6:K22" si="4">$M$1 - H6</f>
        <v>#VALUE!</v>
      </c>
      <c r="L6">
        <f t="shared" si="0"/>
        <v>0.54844335849566095</v>
      </c>
      <c r="N6">
        <f t="shared" ref="N6:N22" si="5">IF(H5=0,0,(F6 - H5)/ABS(H5))</f>
        <v>0.61121463591838432</v>
      </c>
      <c r="O6">
        <v>3.7083422262330399</v>
      </c>
    </row>
    <row r="7" spans="1:19" x14ac:dyDescent="0.2">
      <c r="A7" t="s">
        <v>33</v>
      </c>
      <c r="H7">
        <f t="shared" si="1"/>
        <v>1360.3875025566599</v>
      </c>
      <c r="I7">
        <f t="shared" si="2"/>
        <v>-1360.3875025566599</v>
      </c>
      <c r="J7">
        <f t="shared" si="3"/>
        <v>1360.3875025566599</v>
      </c>
      <c r="K7" t="e">
        <f t="shared" si="4"/>
        <v>#VALUE!</v>
      </c>
      <c r="L7" t="e">
        <f t="shared" si="0"/>
        <v>#DIV/0!</v>
      </c>
      <c r="N7">
        <f t="shared" si="5"/>
        <v>-1</v>
      </c>
    </row>
    <row r="8" spans="1:19" x14ac:dyDescent="0.2">
      <c r="A8" t="s">
        <v>34</v>
      </c>
      <c r="H8">
        <f t="shared" si="1"/>
        <v>1360.3875025566599</v>
      </c>
      <c r="I8">
        <f t="shared" si="2"/>
        <v>-1360.3875025566599</v>
      </c>
      <c r="J8">
        <f t="shared" si="3"/>
        <v>1360.3875025566599</v>
      </c>
      <c r="K8" t="e">
        <f t="shared" si="4"/>
        <v>#VALUE!</v>
      </c>
      <c r="L8" t="e">
        <f t="shared" si="0"/>
        <v>#DIV/0!</v>
      </c>
      <c r="N8">
        <f t="shared" si="5"/>
        <v>-1</v>
      </c>
    </row>
    <row r="9" spans="1:19" x14ac:dyDescent="0.2">
      <c r="A9" t="s">
        <v>35</v>
      </c>
      <c r="H9">
        <f t="shared" si="1"/>
        <v>1360.3875025566599</v>
      </c>
      <c r="I9">
        <f t="shared" si="2"/>
        <v>-1360.3875025566599</v>
      </c>
      <c r="J9">
        <f t="shared" si="3"/>
        <v>1360.3875025566599</v>
      </c>
      <c r="K9" t="e">
        <f t="shared" si="4"/>
        <v>#VALUE!</v>
      </c>
      <c r="L9" t="e">
        <f t="shared" si="0"/>
        <v>#DIV/0!</v>
      </c>
      <c r="N9">
        <f t="shared" si="5"/>
        <v>-1</v>
      </c>
    </row>
    <row r="10" spans="1:19" x14ac:dyDescent="0.2">
      <c r="A10" t="s">
        <v>36</v>
      </c>
      <c r="H10">
        <f t="shared" si="1"/>
        <v>1360.3875025566599</v>
      </c>
      <c r="I10">
        <f t="shared" si="2"/>
        <v>-1360.3875025566599</v>
      </c>
      <c r="J10">
        <f t="shared" si="3"/>
        <v>1360.3875025566599</v>
      </c>
      <c r="K10" t="e">
        <f t="shared" si="4"/>
        <v>#VALUE!</v>
      </c>
      <c r="L10" t="e">
        <f t="shared" si="0"/>
        <v>#DIV/0!</v>
      </c>
      <c r="N10">
        <f t="shared" si="5"/>
        <v>-1</v>
      </c>
    </row>
    <row r="11" spans="1:19" x14ac:dyDescent="0.2">
      <c r="A11" t="s">
        <v>37</v>
      </c>
      <c r="H11">
        <f t="shared" si="1"/>
        <v>1360.3875025566599</v>
      </c>
      <c r="I11">
        <f t="shared" si="2"/>
        <v>-1360.3875025566599</v>
      </c>
      <c r="J11">
        <f t="shared" si="3"/>
        <v>1360.3875025566599</v>
      </c>
      <c r="K11" t="e">
        <f t="shared" si="4"/>
        <v>#VALUE!</v>
      </c>
      <c r="L11" t="e">
        <f t="shared" si="0"/>
        <v>#DIV/0!</v>
      </c>
      <c r="N11">
        <f t="shared" si="5"/>
        <v>-1</v>
      </c>
    </row>
    <row r="12" spans="1:19" x14ac:dyDescent="0.2">
      <c r="A12" t="s">
        <v>38</v>
      </c>
      <c r="H12">
        <f t="shared" si="1"/>
        <v>1360.3875025566599</v>
      </c>
      <c r="I12">
        <f t="shared" si="2"/>
        <v>-1360.3875025566599</v>
      </c>
      <c r="J12">
        <f t="shared" si="3"/>
        <v>1360.3875025566599</v>
      </c>
      <c r="K12" t="e">
        <f t="shared" si="4"/>
        <v>#VALUE!</v>
      </c>
      <c r="L12" t="e">
        <f t="shared" si="0"/>
        <v>#DIV/0!</v>
      </c>
      <c r="N12">
        <f t="shared" si="5"/>
        <v>-1</v>
      </c>
    </row>
    <row r="13" spans="1:19" x14ac:dyDescent="0.2">
      <c r="A13" t="s">
        <v>39</v>
      </c>
      <c r="H13">
        <f t="shared" si="1"/>
        <v>1360.3875025566599</v>
      </c>
      <c r="I13">
        <f t="shared" si="2"/>
        <v>-1360.3875025566599</v>
      </c>
      <c r="J13">
        <f t="shared" si="3"/>
        <v>1360.3875025566599</v>
      </c>
      <c r="K13" t="e">
        <f t="shared" si="4"/>
        <v>#VALUE!</v>
      </c>
      <c r="L13" t="e">
        <f t="shared" si="0"/>
        <v>#DIV/0!</v>
      </c>
      <c r="N13">
        <f t="shared" si="5"/>
        <v>-1</v>
      </c>
    </row>
    <row r="14" spans="1:19" x14ac:dyDescent="0.2">
      <c r="A14" t="s">
        <v>40</v>
      </c>
      <c r="H14">
        <f t="shared" si="1"/>
        <v>1360.3875025566599</v>
      </c>
      <c r="I14">
        <f t="shared" si="2"/>
        <v>-1360.3875025566599</v>
      </c>
      <c r="J14">
        <f t="shared" si="3"/>
        <v>1360.3875025566599</v>
      </c>
      <c r="K14" t="e">
        <f t="shared" si="4"/>
        <v>#VALUE!</v>
      </c>
      <c r="L14" t="e">
        <f t="shared" si="0"/>
        <v>#DIV/0!</v>
      </c>
      <c r="N14">
        <f t="shared" si="5"/>
        <v>-1</v>
      </c>
    </row>
    <row r="15" spans="1:19" x14ac:dyDescent="0.2">
      <c r="A15" t="s">
        <v>41</v>
      </c>
      <c r="H15">
        <f t="shared" si="1"/>
        <v>1360.3875025566599</v>
      </c>
      <c r="I15">
        <f t="shared" si="2"/>
        <v>-1360.3875025566599</v>
      </c>
      <c r="J15">
        <f t="shared" si="3"/>
        <v>1360.3875025566599</v>
      </c>
      <c r="K15" t="e">
        <f t="shared" si="4"/>
        <v>#VALUE!</v>
      </c>
      <c r="L15" t="e">
        <f t="shared" si="0"/>
        <v>#DIV/0!</v>
      </c>
      <c r="N15">
        <f t="shared" si="5"/>
        <v>-1</v>
      </c>
    </row>
    <row r="16" spans="1:19" x14ac:dyDescent="0.2">
      <c r="A16" t="s">
        <v>42</v>
      </c>
      <c r="H16">
        <f t="shared" si="1"/>
        <v>1360.3875025566599</v>
      </c>
      <c r="I16">
        <f t="shared" si="2"/>
        <v>-1360.3875025566599</v>
      </c>
      <c r="J16">
        <f t="shared" si="3"/>
        <v>1360.3875025566599</v>
      </c>
      <c r="K16" t="e">
        <f t="shared" si="4"/>
        <v>#VALUE!</v>
      </c>
      <c r="L16" t="e">
        <f t="shared" si="0"/>
        <v>#DIV/0!</v>
      </c>
      <c r="N16">
        <f t="shared" si="5"/>
        <v>-1</v>
      </c>
    </row>
    <row r="17" spans="1:14" x14ac:dyDescent="0.2">
      <c r="A17" t="s">
        <v>43</v>
      </c>
      <c r="H17">
        <f t="shared" si="1"/>
        <v>1360.3875025566599</v>
      </c>
      <c r="I17">
        <f t="shared" si="2"/>
        <v>-1360.3875025566599</v>
      </c>
      <c r="J17">
        <f t="shared" si="3"/>
        <v>1360.3875025566599</v>
      </c>
      <c r="K17" t="e">
        <f t="shared" si="4"/>
        <v>#VALUE!</v>
      </c>
      <c r="L17" t="e">
        <f t="shared" si="0"/>
        <v>#DIV/0!</v>
      </c>
      <c r="N17">
        <f t="shared" si="5"/>
        <v>-1</v>
      </c>
    </row>
    <row r="18" spans="1:14" x14ac:dyDescent="0.2">
      <c r="A18" t="s">
        <v>44</v>
      </c>
      <c r="H18">
        <f t="shared" si="1"/>
        <v>1360.3875025566599</v>
      </c>
      <c r="I18">
        <f t="shared" si="2"/>
        <v>-1360.3875025566599</v>
      </c>
      <c r="J18">
        <f t="shared" si="3"/>
        <v>1360.3875025566599</v>
      </c>
      <c r="K18" t="e">
        <f t="shared" si="4"/>
        <v>#VALUE!</v>
      </c>
      <c r="L18" t="e">
        <f t="shared" si="0"/>
        <v>#DIV/0!</v>
      </c>
      <c r="N18">
        <f t="shared" si="5"/>
        <v>-1</v>
      </c>
    </row>
    <row r="19" spans="1:14" x14ac:dyDescent="0.2">
      <c r="A19" t="s">
        <v>45</v>
      </c>
      <c r="H19">
        <f t="shared" si="1"/>
        <v>1360.3875025566599</v>
      </c>
      <c r="I19">
        <f t="shared" si="2"/>
        <v>-1360.3875025566599</v>
      </c>
      <c r="J19">
        <f t="shared" si="3"/>
        <v>1360.3875025566599</v>
      </c>
      <c r="K19" t="e">
        <f t="shared" si="4"/>
        <v>#VALUE!</v>
      </c>
      <c r="L19" t="e">
        <f t="shared" si="0"/>
        <v>#DIV/0!</v>
      </c>
      <c r="N19">
        <f t="shared" si="5"/>
        <v>-1</v>
      </c>
    </row>
    <row r="20" spans="1:14" x14ac:dyDescent="0.2">
      <c r="A20" t="s">
        <v>46</v>
      </c>
      <c r="H20">
        <f t="shared" si="1"/>
        <v>1360.3875025566599</v>
      </c>
      <c r="I20">
        <f t="shared" si="2"/>
        <v>-1360.3875025566599</v>
      </c>
      <c r="J20">
        <f t="shared" si="3"/>
        <v>1360.3875025566599</v>
      </c>
      <c r="K20" t="e">
        <f t="shared" si="4"/>
        <v>#VALUE!</v>
      </c>
      <c r="L20" t="e">
        <f t="shared" si="0"/>
        <v>#DIV/0!</v>
      </c>
      <c r="N20">
        <f t="shared" si="5"/>
        <v>-1</v>
      </c>
    </row>
    <row r="21" spans="1:14" x14ac:dyDescent="0.2">
      <c r="A21" t="s">
        <v>47</v>
      </c>
      <c r="H21">
        <f t="shared" si="1"/>
        <v>1360.3875025566599</v>
      </c>
      <c r="I21">
        <f t="shared" si="2"/>
        <v>-1360.3875025566599</v>
      </c>
      <c r="J21">
        <f t="shared" si="3"/>
        <v>1360.3875025566599</v>
      </c>
      <c r="K21" t="e">
        <f t="shared" si="4"/>
        <v>#VALUE!</v>
      </c>
      <c r="L21" t="e">
        <f t="shared" si="0"/>
        <v>#DIV/0!</v>
      </c>
      <c r="N21">
        <f t="shared" si="5"/>
        <v>-1</v>
      </c>
    </row>
    <row r="22" spans="1:14" x14ac:dyDescent="0.2">
      <c r="H22">
        <f t="shared" si="1"/>
        <v>1360.3875025566599</v>
      </c>
      <c r="I22">
        <f t="shared" si="2"/>
        <v>-1360.3875025566599</v>
      </c>
      <c r="J22">
        <f t="shared" si="3"/>
        <v>1360.3875025566599</v>
      </c>
      <c r="K22" t="e">
        <f t="shared" si="4"/>
        <v>#VALUE!</v>
      </c>
      <c r="L22" t="e">
        <f t="shared" si="0"/>
        <v>#DIV/0!</v>
      </c>
      <c r="N22">
        <f t="shared" si="5"/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48BE-DDAD-064B-AFD7-BD7BE5F7B5F4}">
  <dimension ref="A1:T22"/>
  <sheetViews>
    <sheetView workbookViewId="0">
      <selection activeCell="H7" sqref="H7"/>
    </sheetView>
  </sheetViews>
  <sheetFormatPr baseColWidth="10" defaultRowHeight="16" x14ac:dyDescent="0.2"/>
  <cols>
    <col min="1" max="1" width="8.33203125" bestFit="1" customWidth="1"/>
    <col min="2" max="6" width="9.1640625" bestFit="1" customWidth="1"/>
    <col min="7" max="7" width="14" bestFit="1" customWidth="1"/>
    <col min="8" max="8" width="10" bestFit="1" customWidth="1"/>
    <col min="9" max="9" width="12.83203125" bestFit="1" customWidth="1"/>
    <col min="10" max="10" width="12.1640625" bestFit="1" customWidth="1"/>
    <col min="11" max="11" width="14.33203125" bestFit="1" customWidth="1"/>
    <col min="12" max="12" width="8.33203125" bestFit="1" customWidth="1"/>
    <col min="13" max="13" width="20.1640625" bestFit="1" customWidth="1"/>
    <col min="14" max="14" width="14.83203125" bestFit="1" customWidth="1"/>
    <col min="15" max="15" width="22.5" bestFit="1" customWidth="1"/>
    <col min="16" max="16" width="23.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27</v>
      </c>
      <c r="I1" t="s">
        <v>10</v>
      </c>
      <c r="J1" t="s">
        <v>11</v>
      </c>
      <c r="K1" t="s">
        <v>12</v>
      </c>
      <c r="L1" t="s">
        <v>13</v>
      </c>
      <c r="M1" t="s">
        <v>23</v>
      </c>
      <c r="N1" t="s">
        <v>24</v>
      </c>
      <c r="O1" t="s">
        <v>25</v>
      </c>
      <c r="P1" t="s">
        <v>26</v>
      </c>
      <c r="Q1" t="s">
        <v>48</v>
      </c>
      <c r="R1" t="s">
        <v>49</v>
      </c>
      <c r="S1" t="s">
        <v>50</v>
      </c>
      <c r="T1" t="s">
        <v>53</v>
      </c>
    </row>
    <row r="2" spans="1:20" x14ac:dyDescent="0.2">
      <c r="A2" t="s">
        <v>28</v>
      </c>
    </row>
    <row r="3" spans="1:20" x14ac:dyDescent="0.2">
      <c r="A3" t="s">
        <v>29</v>
      </c>
    </row>
    <row r="4" spans="1:20" x14ac:dyDescent="0.2">
      <c r="A4" t="s">
        <v>30</v>
      </c>
      <c r="B4">
        <v>0.667597</v>
      </c>
      <c r="C4">
        <v>0.15720100000000001</v>
      </c>
      <c r="D4">
        <v>0.73833899999999997</v>
      </c>
      <c r="E4">
        <v>0.67836799999999997</v>
      </c>
      <c r="F4">
        <v>0.17963599999999999</v>
      </c>
      <c r="G4">
        <v>-0.940379707598887</v>
      </c>
      <c r="H4" s="1">
        <v>-0.68332539740041998</v>
      </c>
      <c r="I4">
        <f>G4</f>
        <v>-0.940379707598887</v>
      </c>
      <c r="J4">
        <f>0</f>
        <v>0</v>
      </c>
      <c r="K4">
        <f>G4</f>
        <v>-0.940379707598887</v>
      </c>
      <c r="L4" t="e">
        <f>$N$1 - I4</f>
        <v>#VALUE!</v>
      </c>
      <c r="P4">
        <v>3.5581911036400098</v>
      </c>
      <c r="Q4" t="s">
        <v>52</v>
      </c>
      <c r="R4" t="s">
        <v>51</v>
      </c>
      <c r="S4">
        <v>100</v>
      </c>
      <c r="T4">
        <v>3</v>
      </c>
    </row>
    <row r="5" spans="1:20" x14ac:dyDescent="0.2">
      <c r="A5" t="s">
        <v>31</v>
      </c>
      <c r="B5">
        <v>0.57821999999999996</v>
      </c>
      <c r="C5">
        <v>0.31182199999999999</v>
      </c>
      <c r="D5">
        <v>0.237757</v>
      </c>
      <c r="E5">
        <v>0.422315</v>
      </c>
      <c r="F5">
        <v>0.58827099999999999</v>
      </c>
      <c r="H5">
        <v>-1.4991274726694701</v>
      </c>
      <c r="I5">
        <f>MAX(I4, G5)</f>
        <v>-0.940379707598887</v>
      </c>
      <c r="J5">
        <f>G5 - I4</f>
        <v>0.940379707598887</v>
      </c>
      <c r="K5">
        <f>MAX(K4, G5)</f>
        <v>-0.940379707598887</v>
      </c>
      <c r="L5" t="e">
        <f>$N$1 - I5</f>
        <v>#VALUE!</v>
      </c>
      <c r="M5">
        <f t="shared" ref="M5:M22" si="0">SQRT(SUMXMY2(B5:F5, B4:F4))</f>
        <v>0.71765168607619112</v>
      </c>
      <c r="O5">
        <f>IF(I4=0,0,(G5 - I4)/ABS(I4))</f>
        <v>1</v>
      </c>
    </row>
    <row r="6" spans="1:20" x14ac:dyDescent="0.2">
      <c r="A6" t="s">
        <v>32</v>
      </c>
      <c r="B6">
        <v>0.50132900000000002</v>
      </c>
      <c r="C6">
        <v>0.21138999999999999</v>
      </c>
      <c r="D6">
        <v>0.39092399999999999</v>
      </c>
      <c r="E6">
        <v>0.97055000000000002</v>
      </c>
      <c r="F6">
        <v>1.5921999999999999E-2</v>
      </c>
      <c r="G6">
        <v>-0.53486724411459297</v>
      </c>
      <c r="H6">
        <v>-0.88661840759718602</v>
      </c>
      <c r="I6">
        <f t="shared" ref="I6:I22" si="1">MAX(I5, G6)</f>
        <v>-0.53486724411459297</v>
      </c>
      <c r="J6">
        <f t="shared" ref="J6:J22" si="2">G6 - I5</f>
        <v>0.40551246348429404</v>
      </c>
      <c r="K6">
        <f t="shared" ref="K6:K22" si="3">MAX(K5, G6)</f>
        <v>-0.53486724411459297</v>
      </c>
      <c r="L6" t="e">
        <f t="shared" ref="L6:L22" si="4">$N$1 - I6</f>
        <v>#VALUE!</v>
      </c>
      <c r="M6">
        <f t="shared" si="0"/>
        <v>0.81707033688661102</v>
      </c>
      <c r="O6">
        <f t="shared" ref="O6:O22" si="5">IF(I5=0,0,(G6 - I5)/ABS(I5))</f>
        <v>0.43122204808067044</v>
      </c>
      <c r="P6">
        <v>0.49632115971684998</v>
      </c>
    </row>
    <row r="7" spans="1:20" x14ac:dyDescent="0.2">
      <c r="A7" t="s">
        <v>33</v>
      </c>
      <c r="I7">
        <f t="shared" si="1"/>
        <v>-0.53486724411459297</v>
      </c>
      <c r="J7">
        <f t="shared" si="2"/>
        <v>0.53486724411459297</v>
      </c>
      <c r="K7">
        <f t="shared" si="3"/>
        <v>-0.53486724411459297</v>
      </c>
      <c r="L7" t="e">
        <f t="shared" si="4"/>
        <v>#VALUE!</v>
      </c>
      <c r="M7" t="e">
        <f t="shared" si="0"/>
        <v>#DIV/0!</v>
      </c>
      <c r="O7">
        <f t="shared" si="5"/>
        <v>1</v>
      </c>
    </row>
    <row r="8" spans="1:20" x14ac:dyDescent="0.2">
      <c r="A8" t="s">
        <v>34</v>
      </c>
      <c r="I8">
        <f t="shared" si="1"/>
        <v>-0.53486724411459297</v>
      </c>
      <c r="J8">
        <f t="shared" si="2"/>
        <v>0.53486724411459297</v>
      </c>
      <c r="K8">
        <f t="shared" si="3"/>
        <v>-0.53486724411459297</v>
      </c>
      <c r="L8" t="e">
        <f t="shared" si="4"/>
        <v>#VALUE!</v>
      </c>
      <c r="M8" t="e">
        <f t="shared" si="0"/>
        <v>#DIV/0!</v>
      </c>
      <c r="O8">
        <f t="shared" si="5"/>
        <v>1</v>
      </c>
    </row>
    <row r="9" spans="1:20" x14ac:dyDescent="0.2">
      <c r="A9" t="s">
        <v>35</v>
      </c>
      <c r="I9">
        <f t="shared" si="1"/>
        <v>-0.53486724411459297</v>
      </c>
      <c r="J9">
        <f t="shared" si="2"/>
        <v>0.53486724411459297</v>
      </c>
      <c r="K9">
        <f t="shared" si="3"/>
        <v>-0.53486724411459297</v>
      </c>
      <c r="L9" t="e">
        <f t="shared" si="4"/>
        <v>#VALUE!</v>
      </c>
      <c r="M9" t="e">
        <f t="shared" si="0"/>
        <v>#DIV/0!</v>
      </c>
      <c r="O9">
        <f t="shared" si="5"/>
        <v>1</v>
      </c>
    </row>
    <row r="10" spans="1:20" x14ac:dyDescent="0.2">
      <c r="A10" t="s">
        <v>36</v>
      </c>
      <c r="I10">
        <f t="shared" si="1"/>
        <v>-0.53486724411459297</v>
      </c>
      <c r="J10">
        <f t="shared" si="2"/>
        <v>0.53486724411459297</v>
      </c>
      <c r="K10">
        <f t="shared" si="3"/>
        <v>-0.53486724411459297</v>
      </c>
      <c r="L10" t="e">
        <f t="shared" si="4"/>
        <v>#VALUE!</v>
      </c>
      <c r="M10" t="e">
        <f t="shared" si="0"/>
        <v>#DIV/0!</v>
      </c>
      <c r="O10">
        <f t="shared" si="5"/>
        <v>1</v>
      </c>
    </row>
    <row r="11" spans="1:20" x14ac:dyDescent="0.2">
      <c r="A11" t="s">
        <v>37</v>
      </c>
      <c r="I11">
        <f t="shared" si="1"/>
        <v>-0.53486724411459297</v>
      </c>
      <c r="J11">
        <f t="shared" si="2"/>
        <v>0.53486724411459297</v>
      </c>
      <c r="K11">
        <f t="shared" si="3"/>
        <v>-0.53486724411459297</v>
      </c>
      <c r="L11" t="e">
        <f t="shared" si="4"/>
        <v>#VALUE!</v>
      </c>
      <c r="M11" t="e">
        <f t="shared" si="0"/>
        <v>#DIV/0!</v>
      </c>
      <c r="O11">
        <f t="shared" si="5"/>
        <v>1</v>
      </c>
    </row>
    <row r="12" spans="1:20" x14ac:dyDescent="0.2">
      <c r="A12" t="s">
        <v>38</v>
      </c>
      <c r="I12">
        <f t="shared" si="1"/>
        <v>-0.53486724411459297</v>
      </c>
      <c r="J12">
        <f t="shared" si="2"/>
        <v>0.53486724411459297</v>
      </c>
      <c r="K12">
        <f t="shared" si="3"/>
        <v>-0.53486724411459297</v>
      </c>
      <c r="L12" t="e">
        <f t="shared" si="4"/>
        <v>#VALUE!</v>
      </c>
      <c r="M12" t="e">
        <f t="shared" si="0"/>
        <v>#DIV/0!</v>
      </c>
      <c r="O12">
        <f t="shared" si="5"/>
        <v>1</v>
      </c>
    </row>
    <row r="13" spans="1:20" x14ac:dyDescent="0.2">
      <c r="A13" t="s">
        <v>39</v>
      </c>
      <c r="I13">
        <f t="shared" si="1"/>
        <v>-0.53486724411459297</v>
      </c>
      <c r="J13">
        <f t="shared" si="2"/>
        <v>0.53486724411459297</v>
      </c>
      <c r="K13">
        <f t="shared" si="3"/>
        <v>-0.53486724411459297</v>
      </c>
      <c r="L13" t="e">
        <f t="shared" si="4"/>
        <v>#VALUE!</v>
      </c>
      <c r="M13" t="e">
        <f t="shared" si="0"/>
        <v>#DIV/0!</v>
      </c>
      <c r="O13">
        <f t="shared" si="5"/>
        <v>1</v>
      </c>
    </row>
    <row r="14" spans="1:20" x14ac:dyDescent="0.2">
      <c r="A14" t="s">
        <v>40</v>
      </c>
      <c r="I14">
        <f t="shared" si="1"/>
        <v>-0.53486724411459297</v>
      </c>
      <c r="J14">
        <f t="shared" si="2"/>
        <v>0.53486724411459297</v>
      </c>
      <c r="K14">
        <f t="shared" si="3"/>
        <v>-0.53486724411459297</v>
      </c>
      <c r="L14" t="e">
        <f t="shared" si="4"/>
        <v>#VALUE!</v>
      </c>
      <c r="M14" t="e">
        <f t="shared" si="0"/>
        <v>#DIV/0!</v>
      </c>
      <c r="O14">
        <f t="shared" si="5"/>
        <v>1</v>
      </c>
    </row>
    <row r="15" spans="1:20" x14ac:dyDescent="0.2">
      <c r="A15" t="s">
        <v>41</v>
      </c>
      <c r="I15">
        <f t="shared" si="1"/>
        <v>-0.53486724411459297</v>
      </c>
      <c r="J15">
        <f t="shared" si="2"/>
        <v>0.53486724411459297</v>
      </c>
      <c r="K15">
        <f t="shared" si="3"/>
        <v>-0.53486724411459297</v>
      </c>
      <c r="L15" t="e">
        <f t="shared" si="4"/>
        <v>#VALUE!</v>
      </c>
      <c r="M15" t="e">
        <f t="shared" si="0"/>
        <v>#DIV/0!</v>
      </c>
      <c r="O15">
        <f t="shared" si="5"/>
        <v>1</v>
      </c>
    </row>
    <row r="16" spans="1:20" x14ac:dyDescent="0.2">
      <c r="A16" t="s">
        <v>42</v>
      </c>
      <c r="I16">
        <f t="shared" si="1"/>
        <v>-0.53486724411459297</v>
      </c>
      <c r="J16">
        <f t="shared" si="2"/>
        <v>0.53486724411459297</v>
      </c>
      <c r="K16">
        <f t="shared" si="3"/>
        <v>-0.53486724411459297</v>
      </c>
      <c r="L16" t="e">
        <f t="shared" si="4"/>
        <v>#VALUE!</v>
      </c>
      <c r="M16" t="e">
        <f t="shared" si="0"/>
        <v>#DIV/0!</v>
      </c>
      <c r="O16">
        <f t="shared" si="5"/>
        <v>1</v>
      </c>
    </row>
    <row r="17" spans="1:15" x14ac:dyDescent="0.2">
      <c r="A17" t="s">
        <v>43</v>
      </c>
      <c r="I17">
        <f t="shared" si="1"/>
        <v>-0.53486724411459297</v>
      </c>
      <c r="J17">
        <f t="shared" si="2"/>
        <v>0.53486724411459297</v>
      </c>
      <c r="K17">
        <f t="shared" si="3"/>
        <v>-0.53486724411459297</v>
      </c>
      <c r="L17" t="e">
        <f t="shared" si="4"/>
        <v>#VALUE!</v>
      </c>
      <c r="M17" t="e">
        <f t="shared" si="0"/>
        <v>#DIV/0!</v>
      </c>
      <c r="O17">
        <f t="shared" si="5"/>
        <v>1</v>
      </c>
    </row>
    <row r="18" spans="1:15" x14ac:dyDescent="0.2">
      <c r="A18" t="s">
        <v>44</v>
      </c>
      <c r="I18">
        <f t="shared" si="1"/>
        <v>-0.53486724411459297</v>
      </c>
      <c r="J18">
        <f t="shared" si="2"/>
        <v>0.53486724411459297</v>
      </c>
      <c r="K18">
        <f t="shared" si="3"/>
        <v>-0.53486724411459297</v>
      </c>
      <c r="L18" t="e">
        <f t="shared" si="4"/>
        <v>#VALUE!</v>
      </c>
      <c r="M18" t="e">
        <f t="shared" si="0"/>
        <v>#DIV/0!</v>
      </c>
      <c r="O18">
        <f t="shared" si="5"/>
        <v>1</v>
      </c>
    </row>
    <row r="19" spans="1:15" x14ac:dyDescent="0.2">
      <c r="A19" t="s">
        <v>45</v>
      </c>
      <c r="I19">
        <f t="shared" si="1"/>
        <v>-0.53486724411459297</v>
      </c>
      <c r="J19">
        <f t="shared" si="2"/>
        <v>0.53486724411459297</v>
      </c>
      <c r="K19">
        <f t="shared" si="3"/>
        <v>-0.53486724411459297</v>
      </c>
      <c r="L19" t="e">
        <f t="shared" si="4"/>
        <v>#VALUE!</v>
      </c>
      <c r="M19" t="e">
        <f t="shared" si="0"/>
        <v>#DIV/0!</v>
      </c>
      <c r="O19">
        <f t="shared" si="5"/>
        <v>1</v>
      </c>
    </row>
    <row r="20" spans="1:15" x14ac:dyDescent="0.2">
      <c r="A20" t="s">
        <v>46</v>
      </c>
      <c r="I20">
        <f t="shared" si="1"/>
        <v>-0.53486724411459297</v>
      </c>
      <c r="J20">
        <f t="shared" si="2"/>
        <v>0.53486724411459297</v>
      </c>
      <c r="K20">
        <f t="shared" si="3"/>
        <v>-0.53486724411459297</v>
      </c>
      <c r="L20" t="e">
        <f t="shared" si="4"/>
        <v>#VALUE!</v>
      </c>
      <c r="M20" t="e">
        <f t="shared" si="0"/>
        <v>#DIV/0!</v>
      </c>
      <c r="O20">
        <f t="shared" si="5"/>
        <v>1</v>
      </c>
    </row>
    <row r="21" spans="1:15" x14ac:dyDescent="0.2">
      <c r="A21" t="s">
        <v>47</v>
      </c>
      <c r="I21">
        <f t="shared" si="1"/>
        <v>-0.53486724411459297</v>
      </c>
      <c r="J21">
        <f t="shared" si="2"/>
        <v>0.53486724411459297</v>
      </c>
      <c r="K21">
        <f t="shared" si="3"/>
        <v>-0.53486724411459297</v>
      </c>
      <c r="L21" t="e">
        <f t="shared" si="4"/>
        <v>#VALUE!</v>
      </c>
      <c r="M21" t="e">
        <f t="shared" si="0"/>
        <v>#DIV/0!</v>
      </c>
      <c r="O21">
        <f t="shared" si="5"/>
        <v>1</v>
      </c>
    </row>
    <row r="22" spans="1:15" x14ac:dyDescent="0.2">
      <c r="I22">
        <f t="shared" si="1"/>
        <v>-0.53486724411459297</v>
      </c>
      <c r="J22">
        <f t="shared" si="2"/>
        <v>0.53486724411459297</v>
      </c>
      <c r="K22">
        <f t="shared" si="3"/>
        <v>-0.53486724411459297</v>
      </c>
      <c r="L22" t="e">
        <f t="shared" si="4"/>
        <v>#VALUE!</v>
      </c>
      <c r="M22" t="e">
        <f t="shared" si="0"/>
        <v>#DIV/0!</v>
      </c>
      <c r="O22">
        <f t="shared" si="5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684D-CD9B-D147-8DD2-0EE0BC29AFF7}">
  <dimension ref="A1:U22"/>
  <sheetViews>
    <sheetView workbookViewId="0">
      <selection activeCell="Q7" sqref="Q7"/>
    </sheetView>
  </sheetViews>
  <sheetFormatPr baseColWidth="10" defaultRowHeight="16" x14ac:dyDescent="0.2"/>
  <cols>
    <col min="1" max="1" width="8.33203125" bestFit="1" customWidth="1"/>
    <col min="2" max="7" width="9.1640625" bestFit="1" customWidth="1"/>
    <col min="8" max="8" width="14" bestFit="1" customWidth="1"/>
    <col min="9" max="9" width="10" bestFit="1" customWidth="1"/>
    <col min="10" max="10" width="11.1640625" bestFit="1" customWidth="1"/>
    <col min="11" max="11" width="12.1640625" bestFit="1" customWidth="1"/>
    <col min="12" max="12" width="14.33203125" bestFit="1" customWidth="1"/>
    <col min="13" max="13" width="8.33203125" bestFit="1" customWidth="1"/>
    <col min="14" max="14" width="20.1640625" bestFit="1" customWidth="1"/>
    <col min="15" max="15" width="14.83203125" bestFit="1" customWidth="1"/>
    <col min="16" max="16" width="22.5" bestFit="1" customWidth="1"/>
    <col min="17" max="17" width="23.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27</v>
      </c>
      <c r="J1" t="s">
        <v>10</v>
      </c>
      <c r="K1" t="s">
        <v>11</v>
      </c>
      <c r="L1" t="s">
        <v>12</v>
      </c>
      <c r="M1" t="s">
        <v>13</v>
      </c>
      <c r="N1" t="s">
        <v>23</v>
      </c>
      <c r="O1" t="s">
        <v>24</v>
      </c>
      <c r="P1" t="s">
        <v>25</v>
      </c>
      <c r="Q1" t="s">
        <v>26</v>
      </c>
      <c r="R1" t="s">
        <v>48</v>
      </c>
      <c r="S1" t="s">
        <v>49</v>
      </c>
      <c r="T1" t="s">
        <v>50</v>
      </c>
      <c r="U1" t="s">
        <v>53</v>
      </c>
    </row>
    <row r="2" spans="1:21" x14ac:dyDescent="0.2">
      <c r="A2" t="s">
        <v>28</v>
      </c>
    </row>
    <row r="3" spans="1:21" x14ac:dyDescent="0.2">
      <c r="A3" t="s">
        <v>29</v>
      </c>
    </row>
    <row r="4" spans="1:21" x14ac:dyDescent="0.2">
      <c r="A4" t="s">
        <v>30</v>
      </c>
      <c r="B4">
        <v>3.8478999999999999E-2</v>
      </c>
      <c r="C4">
        <v>0.51883900000000005</v>
      </c>
      <c r="D4">
        <v>0.31124800000000002</v>
      </c>
      <c r="E4">
        <v>0.237261</v>
      </c>
      <c r="F4">
        <v>0.41712399999999999</v>
      </c>
      <c r="G4">
        <v>0.68437599999999998</v>
      </c>
      <c r="H4">
        <v>1.0330126991862401</v>
      </c>
      <c r="I4" s="1">
        <v>1.4151823537066901</v>
      </c>
      <c r="J4">
        <f>H4</f>
        <v>1.0330126991862401</v>
      </c>
      <c r="K4">
        <f>0</f>
        <v>0</v>
      </c>
      <c r="L4">
        <f>H4</f>
        <v>1.0330126991862401</v>
      </c>
      <c r="M4" t="e">
        <f>$O$1 - J4</f>
        <v>#VALUE!</v>
      </c>
      <c r="Q4">
        <v>4.2940261931577597</v>
      </c>
      <c r="R4" t="s">
        <v>52</v>
      </c>
      <c r="S4" t="s">
        <v>51</v>
      </c>
      <c r="T4">
        <v>100</v>
      </c>
      <c r="U4">
        <v>3</v>
      </c>
    </row>
    <row r="5" spans="1:21" x14ac:dyDescent="0.2">
      <c r="A5" t="s">
        <v>31</v>
      </c>
      <c r="B5">
        <v>0.10771799999999999</v>
      </c>
      <c r="C5">
        <v>0.58628599999999997</v>
      </c>
      <c r="D5">
        <v>0.17537700000000001</v>
      </c>
      <c r="E5">
        <v>0.30316199999999999</v>
      </c>
      <c r="F5">
        <v>0.56060399999999999</v>
      </c>
      <c r="G5">
        <v>0.68437599999999998</v>
      </c>
      <c r="I5">
        <v>0.479035956150547</v>
      </c>
      <c r="J5">
        <f>MAX(J4, H5)</f>
        <v>1.0330126991862401</v>
      </c>
      <c r="K5">
        <f>H5 - J4</f>
        <v>-1.0330126991862401</v>
      </c>
      <c r="L5">
        <f>MAX(L4, H5)</f>
        <v>1.0330126991862401</v>
      </c>
      <c r="M5" t="e">
        <f>$O$1 - J5</f>
        <v>#VALUE!</v>
      </c>
      <c r="N5">
        <f t="shared" ref="N5:N22" si="0">SQRT(SUMXMY2(B5:G5, B4:G4))</f>
        <v>0.2296377969150549</v>
      </c>
      <c r="P5">
        <f>IF(J4=0,0,(H5 - J4)/ABS(J4))</f>
        <v>-1</v>
      </c>
    </row>
    <row r="6" spans="1:21" x14ac:dyDescent="0.2">
      <c r="A6" t="s">
        <v>32</v>
      </c>
      <c r="B6">
        <v>0</v>
      </c>
      <c r="C6">
        <v>0.99097000000000002</v>
      </c>
      <c r="D6">
        <v>0.99060300000000001</v>
      </c>
      <c r="E6">
        <v>0</v>
      </c>
      <c r="F6">
        <v>0</v>
      </c>
      <c r="G6">
        <v>1.0176829999999999</v>
      </c>
      <c r="H6">
        <v>0.60658334465235497</v>
      </c>
      <c r="I6">
        <v>2.8769356636723E-2</v>
      </c>
      <c r="J6">
        <f t="shared" ref="J6:J22" si="1">MAX(J5, H6)</f>
        <v>1.0330126991862401</v>
      </c>
      <c r="K6">
        <f t="shared" ref="K6:K22" si="2">H6 - J5</f>
        <v>-0.42642935453388509</v>
      </c>
      <c r="L6">
        <f t="shared" ref="L6:L22" si="3">MAX(L5, H6)</f>
        <v>1.0330126991862401</v>
      </c>
      <c r="M6" t="e">
        <f t="shared" ref="M6:M22" si="4">$O$1 - J6</f>
        <v>#VALUE!</v>
      </c>
      <c r="N6">
        <f t="shared" si="0"/>
        <v>1.1650078702588236</v>
      </c>
      <c r="P6">
        <f t="shared" ref="P6:P22" si="5">IF(J5=0,0,(H6 - J5)/ABS(J5))</f>
        <v>-0.41280165758833992</v>
      </c>
      <c r="Q6">
        <v>1.9161731526016801E-2</v>
      </c>
    </row>
    <row r="7" spans="1:21" x14ac:dyDescent="0.2">
      <c r="A7" t="s">
        <v>33</v>
      </c>
      <c r="J7">
        <f t="shared" si="1"/>
        <v>1.0330126991862401</v>
      </c>
      <c r="K7">
        <f t="shared" si="2"/>
        <v>-1.0330126991862401</v>
      </c>
      <c r="L7">
        <f t="shared" si="3"/>
        <v>1.0330126991862401</v>
      </c>
      <c r="M7" t="e">
        <f t="shared" si="4"/>
        <v>#VALUE!</v>
      </c>
      <c r="N7" t="e">
        <f t="shared" si="0"/>
        <v>#DIV/0!</v>
      </c>
      <c r="P7">
        <f t="shared" si="5"/>
        <v>-1</v>
      </c>
    </row>
    <row r="8" spans="1:21" x14ac:dyDescent="0.2">
      <c r="A8" t="s">
        <v>34</v>
      </c>
      <c r="J8">
        <f t="shared" si="1"/>
        <v>1.0330126991862401</v>
      </c>
      <c r="K8">
        <f t="shared" si="2"/>
        <v>-1.0330126991862401</v>
      </c>
      <c r="L8">
        <f t="shared" si="3"/>
        <v>1.0330126991862401</v>
      </c>
      <c r="M8" t="e">
        <f t="shared" si="4"/>
        <v>#VALUE!</v>
      </c>
      <c r="N8" t="e">
        <f t="shared" si="0"/>
        <v>#DIV/0!</v>
      </c>
      <c r="P8">
        <f t="shared" si="5"/>
        <v>-1</v>
      </c>
    </row>
    <row r="9" spans="1:21" x14ac:dyDescent="0.2">
      <c r="A9" t="s">
        <v>35</v>
      </c>
      <c r="J9">
        <f t="shared" si="1"/>
        <v>1.0330126991862401</v>
      </c>
      <c r="K9">
        <f t="shared" si="2"/>
        <v>-1.0330126991862401</v>
      </c>
      <c r="L9">
        <f t="shared" si="3"/>
        <v>1.0330126991862401</v>
      </c>
      <c r="M9" t="e">
        <f t="shared" si="4"/>
        <v>#VALUE!</v>
      </c>
      <c r="N9" t="e">
        <f t="shared" si="0"/>
        <v>#DIV/0!</v>
      </c>
      <c r="P9">
        <f t="shared" si="5"/>
        <v>-1</v>
      </c>
    </row>
    <row r="10" spans="1:21" x14ac:dyDescent="0.2">
      <c r="A10" t="s">
        <v>36</v>
      </c>
      <c r="J10">
        <f t="shared" si="1"/>
        <v>1.0330126991862401</v>
      </c>
      <c r="K10">
        <f t="shared" si="2"/>
        <v>-1.0330126991862401</v>
      </c>
      <c r="L10">
        <f t="shared" si="3"/>
        <v>1.0330126991862401</v>
      </c>
      <c r="M10" t="e">
        <f t="shared" si="4"/>
        <v>#VALUE!</v>
      </c>
      <c r="N10" t="e">
        <f t="shared" si="0"/>
        <v>#DIV/0!</v>
      </c>
      <c r="P10">
        <f t="shared" si="5"/>
        <v>-1</v>
      </c>
    </row>
    <row r="11" spans="1:21" x14ac:dyDescent="0.2">
      <c r="A11" t="s">
        <v>37</v>
      </c>
      <c r="J11">
        <f t="shared" si="1"/>
        <v>1.0330126991862401</v>
      </c>
      <c r="K11">
        <f t="shared" si="2"/>
        <v>-1.0330126991862401</v>
      </c>
      <c r="L11">
        <f t="shared" si="3"/>
        <v>1.0330126991862401</v>
      </c>
      <c r="M11" t="e">
        <f t="shared" si="4"/>
        <v>#VALUE!</v>
      </c>
      <c r="N11" t="e">
        <f t="shared" si="0"/>
        <v>#DIV/0!</v>
      </c>
      <c r="P11">
        <f t="shared" si="5"/>
        <v>-1</v>
      </c>
    </row>
    <row r="12" spans="1:21" x14ac:dyDescent="0.2">
      <c r="A12" t="s">
        <v>38</v>
      </c>
      <c r="J12">
        <f t="shared" si="1"/>
        <v>1.0330126991862401</v>
      </c>
      <c r="K12">
        <f t="shared" si="2"/>
        <v>-1.0330126991862401</v>
      </c>
      <c r="L12">
        <f t="shared" si="3"/>
        <v>1.0330126991862401</v>
      </c>
      <c r="M12" t="e">
        <f t="shared" si="4"/>
        <v>#VALUE!</v>
      </c>
      <c r="N12" t="e">
        <f t="shared" si="0"/>
        <v>#DIV/0!</v>
      </c>
      <c r="P12">
        <f t="shared" si="5"/>
        <v>-1</v>
      </c>
    </row>
    <row r="13" spans="1:21" x14ac:dyDescent="0.2">
      <c r="A13" t="s">
        <v>39</v>
      </c>
      <c r="J13">
        <f t="shared" si="1"/>
        <v>1.0330126991862401</v>
      </c>
      <c r="K13">
        <f t="shared" si="2"/>
        <v>-1.0330126991862401</v>
      </c>
      <c r="L13">
        <f t="shared" si="3"/>
        <v>1.0330126991862401</v>
      </c>
      <c r="M13" t="e">
        <f t="shared" si="4"/>
        <v>#VALUE!</v>
      </c>
      <c r="N13" t="e">
        <f t="shared" si="0"/>
        <v>#DIV/0!</v>
      </c>
      <c r="P13">
        <f t="shared" si="5"/>
        <v>-1</v>
      </c>
    </row>
    <row r="14" spans="1:21" x14ac:dyDescent="0.2">
      <c r="A14" t="s">
        <v>40</v>
      </c>
      <c r="J14">
        <f t="shared" si="1"/>
        <v>1.0330126991862401</v>
      </c>
      <c r="K14">
        <f t="shared" si="2"/>
        <v>-1.0330126991862401</v>
      </c>
      <c r="L14">
        <f t="shared" si="3"/>
        <v>1.0330126991862401</v>
      </c>
      <c r="M14" t="e">
        <f t="shared" si="4"/>
        <v>#VALUE!</v>
      </c>
      <c r="N14" t="e">
        <f t="shared" si="0"/>
        <v>#DIV/0!</v>
      </c>
      <c r="P14">
        <f t="shared" si="5"/>
        <v>-1</v>
      </c>
    </row>
    <row r="15" spans="1:21" x14ac:dyDescent="0.2">
      <c r="A15" t="s">
        <v>41</v>
      </c>
      <c r="J15">
        <f t="shared" si="1"/>
        <v>1.0330126991862401</v>
      </c>
      <c r="K15">
        <f t="shared" si="2"/>
        <v>-1.0330126991862401</v>
      </c>
      <c r="L15">
        <f t="shared" si="3"/>
        <v>1.0330126991862401</v>
      </c>
      <c r="M15" t="e">
        <f t="shared" si="4"/>
        <v>#VALUE!</v>
      </c>
      <c r="N15" t="e">
        <f t="shared" si="0"/>
        <v>#DIV/0!</v>
      </c>
      <c r="P15">
        <f t="shared" si="5"/>
        <v>-1</v>
      </c>
    </row>
    <row r="16" spans="1:21" x14ac:dyDescent="0.2">
      <c r="A16" t="s">
        <v>42</v>
      </c>
      <c r="J16">
        <f t="shared" si="1"/>
        <v>1.0330126991862401</v>
      </c>
      <c r="K16">
        <f t="shared" si="2"/>
        <v>-1.0330126991862401</v>
      </c>
      <c r="L16">
        <f t="shared" si="3"/>
        <v>1.0330126991862401</v>
      </c>
      <c r="M16" t="e">
        <f t="shared" si="4"/>
        <v>#VALUE!</v>
      </c>
      <c r="N16" t="e">
        <f t="shared" si="0"/>
        <v>#DIV/0!</v>
      </c>
      <c r="P16">
        <f t="shared" si="5"/>
        <v>-1</v>
      </c>
    </row>
    <row r="17" spans="1:16" x14ac:dyDescent="0.2">
      <c r="A17" t="s">
        <v>43</v>
      </c>
      <c r="J17">
        <f t="shared" si="1"/>
        <v>1.0330126991862401</v>
      </c>
      <c r="K17">
        <f t="shared" si="2"/>
        <v>-1.0330126991862401</v>
      </c>
      <c r="L17">
        <f t="shared" si="3"/>
        <v>1.0330126991862401</v>
      </c>
      <c r="M17" t="e">
        <f t="shared" si="4"/>
        <v>#VALUE!</v>
      </c>
      <c r="N17" t="e">
        <f t="shared" si="0"/>
        <v>#DIV/0!</v>
      </c>
      <c r="P17">
        <f t="shared" si="5"/>
        <v>-1</v>
      </c>
    </row>
    <row r="18" spans="1:16" x14ac:dyDescent="0.2">
      <c r="A18" t="s">
        <v>44</v>
      </c>
      <c r="J18">
        <f t="shared" si="1"/>
        <v>1.0330126991862401</v>
      </c>
      <c r="K18">
        <f t="shared" si="2"/>
        <v>-1.0330126991862401</v>
      </c>
      <c r="L18">
        <f t="shared" si="3"/>
        <v>1.0330126991862401</v>
      </c>
      <c r="M18" t="e">
        <f t="shared" si="4"/>
        <v>#VALUE!</v>
      </c>
      <c r="N18" t="e">
        <f t="shared" si="0"/>
        <v>#DIV/0!</v>
      </c>
      <c r="P18">
        <f t="shared" si="5"/>
        <v>-1</v>
      </c>
    </row>
    <row r="19" spans="1:16" x14ac:dyDescent="0.2">
      <c r="A19" t="s">
        <v>45</v>
      </c>
      <c r="J19">
        <f t="shared" si="1"/>
        <v>1.0330126991862401</v>
      </c>
      <c r="K19">
        <f t="shared" si="2"/>
        <v>-1.0330126991862401</v>
      </c>
      <c r="L19">
        <f t="shared" si="3"/>
        <v>1.0330126991862401</v>
      </c>
      <c r="M19" t="e">
        <f t="shared" si="4"/>
        <v>#VALUE!</v>
      </c>
      <c r="N19" t="e">
        <f t="shared" si="0"/>
        <v>#DIV/0!</v>
      </c>
      <c r="P19">
        <f t="shared" si="5"/>
        <v>-1</v>
      </c>
    </row>
    <row r="20" spans="1:16" x14ac:dyDescent="0.2">
      <c r="A20" t="s">
        <v>46</v>
      </c>
      <c r="J20">
        <f t="shared" si="1"/>
        <v>1.0330126991862401</v>
      </c>
      <c r="K20">
        <f t="shared" si="2"/>
        <v>-1.0330126991862401</v>
      </c>
      <c r="L20">
        <f t="shared" si="3"/>
        <v>1.0330126991862401</v>
      </c>
      <c r="M20" t="e">
        <f t="shared" si="4"/>
        <v>#VALUE!</v>
      </c>
      <c r="N20" t="e">
        <f t="shared" si="0"/>
        <v>#DIV/0!</v>
      </c>
      <c r="P20">
        <f t="shared" si="5"/>
        <v>-1</v>
      </c>
    </row>
    <row r="21" spans="1:16" x14ac:dyDescent="0.2">
      <c r="A21" t="s">
        <v>47</v>
      </c>
      <c r="J21">
        <f t="shared" si="1"/>
        <v>1.0330126991862401</v>
      </c>
      <c r="K21">
        <f t="shared" si="2"/>
        <v>-1.0330126991862401</v>
      </c>
      <c r="L21">
        <f t="shared" si="3"/>
        <v>1.0330126991862401</v>
      </c>
      <c r="M21" t="e">
        <f t="shared" si="4"/>
        <v>#VALUE!</v>
      </c>
      <c r="N21" t="e">
        <f t="shared" si="0"/>
        <v>#DIV/0!</v>
      </c>
      <c r="P21">
        <f t="shared" si="5"/>
        <v>-1</v>
      </c>
    </row>
    <row r="22" spans="1:16" x14ac:dyDescent="0.2">
      <c r="J22">
        <f t="shared" si="1"/>
        <v>1.0330126991862401</v>
      </c>
      <c r="K22">
        <f t="shared" si="2"/>
        <v>-1.0330126991862401</v>
      </c>
      <c r="L22">
        <f t="shared" si="3"/>
        <v>1.0330126991862401</v>
      </c>
      <c r="M22" t="e">
        <f t="shared" si="4"/>
        <v>#VALUE!</v>
      </c>
      <c r="N22" t="e">
        <f t="shared" si="0"/>
        <v>#DIV/0!</v>
      </c>
      <c r="P22">
        <f t="shared" si="5"/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4B4E-7604-0E4B-B526-278CBA91C44C}">
  <dimension ref="A1:W22"/>
  <sheetViews>
    <sheetView tabSelected="1" workbookViewId="0">
      <selection activeCell="D11" sqref="D11"/>
    </sheetView>
  </sheetViews>
  <sheetFormatPr baseColWidth="10" defaultRowHeight="16" x14ac:dyDescent="0.2"/>
  <cols>
    <col min="1" max="1" width="8.33203125" bestFit="1" customWidth="1"/>
    <col min="2" max="9" width="9.1640625" bestFit="1" customWidth="1"/>
    <col min="10" max="10" width="14" bestFit="1" customWidth="1"/>
    <col min="11" max="11" width="10" bestFit="1" customWidth="1"/>
    <col min="12" max="12" width="11.1640625" bestFit="1" customWidth="1"/>
    <col min="13" max="13" width="12.1640625" bestFit="1" customWidth="1"/>
    <col min="14" max="14" width="14.33203125" bestFit="1" customWidth="1"/>
    <col min="15" max="15" width="8.33203125" bestFit="1" customWidth="1"/>
    <col min="16" max="16" width="20.1640625" bestFit="1" customWidth="1"/>
    <col min="17" max="17" width="14.83203125" bestFit="1" customWidth="1"/>
    <col min="18" max="18" width="22.5" bestFit="1" customWidth="1"/>
    <col min="19" max="19" width="23.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</v>
      </c>
      <c r="L1" t="s">
        <v>10</v>
      </c>
      <c r="M1" t="s">
        <v>11</v>
      </c>
      <c r="N1" t="s">
        <v>12</v>
      </c>
      <c r="O1" t="s">
        <v>13</v>
      </c>
      <c r="P1" t="s">
        <v>23</v>
      </c>
      <c r="Q1" t="s">
        <v>24</v>
      </c>
      <c r="R1" t="s">
        <v>25</v>
      </c>
      <c r="S1" t="s">
        <v>26</v>
      </c>
      <c r="T1" t="s">
        <v>48</v>
      </c>
      <c r="U1" t="s">
        <v>49</v>
      </c>
      <c r="V1" t="s">
        <v>50</v>
      </c>
      <c r="W1" t="s">
        <v>53</v>
      </c>
    </row>
    <row r="2" spans="1:23" x14ac:dyDescent="0.2">
      <c r="A2" t="s">
        <v>28</v>
      </c>
    </row>
    <row r="3" spans="1:23" x14ac:dyDescent="0.2">
      <c r="A3" t="s">
        <v>29</v>
      </c>
    </row>
    <row r="4" spans="1:23" x14ac:dyDescent="0.2">
      <c r="A4" t="s">
        <v>30</v>
      </c>
      <c r="B4">
        <v>4.3750999999999998E-2</v>
      </c>
      <c r="C4">
        <v>4.5305999999999999E-2</v>
      </c>
      <c r="D4">
        <v>4.5318999999999998E-2</v>
      </c>
      <c r="E4">
        <v>3.3695000000000003E-2</v>
      </c>
      <c r="F4">
        <v>0.33774100000000001</v>
      </c>
      <c r="G4">
        <v>0.77166299999999999</v>
      </c>
      <c r="H4">
        <v>0.49688100000000002</v>
      </c>
      <c r="I4">
        <v>0.77599200000000002</v>
      </c>
      <c r="J4">
        <v>8.7836285845698097</v>
      </c>
      <c r="K4" s="1">
        <v>9.5876553462160992</v>
      </c>
      <c r="L4">
        <f>J4</f>
        <v>8.7836285845698097</v>
      </c>
      <c r="M4">
        <f>0</f>
        <v>0</v>
      </c>
      <c r="N4">
        <f>J4</f>
        <v>8.7836285845698097</v>
      </c>
      <c r="O4" t="e">
        <f>$Q$1 - L4</f>
        <v>#VALUE!</v>
      </c>
      <c r="S4">
        <v>3.6081472853686098</v>
      </c>
      <c r="T4" t="s">
        <v>52</v>
      </c>
      <c r="U4" t="s">
        <v>51</v>
      </c>
      <c r="V4">
        <v>100</v>
      </c>
      <c r="W4">
        <v>3</v>
      </c>
    </row>
    <row r="5" spans="1:23" x14ac:dyDescent="0.2">
      <c r="A5" t="s">
        <v>31</v>
      </c>
      <c r="B5">
        <v>0.48087099999999999</v>
      </c>
      <c r="C5">
        <v>0.19008700000000001</v>
      </c>
      <c r="D5">
        <v>0.193605</v>
      </c>
      <c r="E5">
        <v>0.71035700000000002</v>
      </c>
      <c r="F5">
        <v>0.19795599999999999</v>
      </c>
      <c r="G5">
        <v>0.20818600000000001</v>
      </c>
      <c r="H5">
        <v>0.21925700000000001</v>
      </c>
      <c r="I5">
        <v>0.50365400000000005</v>
      </c>
      <c r="K5">
        <v>9.1140770207914006</v>
      </c>
      <c r="L5">
        <f>MAX(L4, J5)</f>
        <v>8.7836285845698097</v>
      </c>
      <c r="M5">
        <f>J5 - L4</f>
        <v>-8.7836285845698097</v>
      </c>
      <c r="N5">
        <f>MAX(N4, J5)</f>
        <v>8.7836285845698097</v>
      </c>
      <c r="O5" t="e">
        <f>$Q$1 - L5</f>
        <v>#VALUE!</v>
      </c>
      <c r="P5">
        <f>SQRT(SUMXMY2(B5:I5, B4:I4))</f>
        <v>1.0863631436011625</v>
      </c>
      <c r="R5">
        <f>IF(L4=0,0,(J5 - L4)/ABS(L4))</f>
        <v>-1</v>
      </c>
    </row>
    <row r="6" spans="1:23" x14ac:dyDescent="0.2">
      <c r="A6" t="s">
        <v>32</v>
      </c>
      <c r="B6">
        <v>0</v>
      </c>
      <c r="C6">
        <v>0</v>
      </c>
      <c r="D6">
        <v>0</v>
      </c>
      <c r="E6">
        <v>0.84541599999999995</v>
      </c>
      <c r="F6">
        <v>0.91872299999999996</v>
      </c>
      <c r="G6">
        <v>0.58961600000000003</v>
      </c>
      <c r="H6">
        <v>0</v>
      </c>
      <c r="I6">
        <v>0</v>
      </c>
      <c r="J6">
        <v>10.335678407079</v>
      </c>
      <c r="K6">
        <v>9.2921179841235002</v>
      </c>
      <c r="L6">
        <f t="shared" ref="L6:L22" si="0">MAX(L5, J6)</f>
        <v>10.335678407079</v>
      </c>
      <c r="M6">
        <f t="shared" ref="M6:M22" si="1">J6 - L5</f>
        <v>1.5520498225091899</v>
      </c>
      <c r="N6">
        <f t="shared" ref="N6:N22" si="2">MAX(N5, J6)</f>
        <v>10.335678407079</v>
      </c>
      <c r="O6" t="e">
        <f t="shared" ref="O6:O22" si="3">$Q$1 - L6</f>
        <v>#VALUE!</v>
      </c>
      <c r="P6">
        <f t="shared" ref="P6:P22" si="4">SQRT(SUMXMY2(B6:I6, B5:I5))</f>
        <v>1.1357062616143312</v>
      </c>
      <c r="R6">
        <f t="shared" ref="R6:R22" si="5">IF(L5=0,0,(J6 - L5)/ABS(L5))</f>
        <v>0.17669802491827513</v>
      </c>
      <c r="S6">
        <v>0.76758680757650399</v>
      </c>
    </row>
    <row r="7" spans="1:23" x14ac:dyDescent="0.2">
      <c r="A7" t="s">
        <v>33</v>
      </c>
      <c r="L7">
        <f t="shared" si="0"/>
        <v>10.335678407079</v>
      </c>
      <c r="M7">
        <f t="shared" si="1"/>
        <v>-10.335678407079</v>
      </c>
      <c r="N7">
        <f t="shared" si="2"/>
        <v>10.335678407079</v>
      </c>
      <c r="O7" t="e">
        <f t="shared" si="3"/>
        <v>#VALUE!</v>
      </c>
      <c r="P7" t="e">
        <f t="shared" si="4"/>
        <v>#DIV/0!</v>
      </c>
      <c r="R7">
        <f t="shared" si="5"/>
        <v>-1</v>
      </c>
    </row>
    <row r="8" spans="1:23" x14ac:dyDescent="0.2">
      <c r="A8" t="s">
        <v>34</v>
      </c>
      <c r="L8">
        <f t="shared" si="0"/>
        <v>10.335678407079</v>
      </c>
      <c r="M8">
        <f t="shared" si="1"/>
        <v>-10.335678407079</v>
      </c>
      <c r="N8">
        <f t="shared" si="2"/>
        <v>10.335678407079</v>
      </c>
      <c r="O8" t="e">
        <f t="shared" si="3"/>
        <v>#VALUE!</v>
      </c>
      <c r="P8" t="e">
        <f t="shared" si="4"/>
        <v>#DIV/0!</v>
      </c>
      <c r="R8">
        <f t="shared" si="5"/>
        <v>-1</v>
      </c>
    </row>
    <row r="9" spans="1:23" x14ac:dyDescent="0.2">
      <c r="A9" t="s">
        <v>35</v>
      </c>
      <c r="L9">
        <f t="shared" si="0"/>
        <v>10.335678407079</v>
      </c>
      <c r="M9">
        <f t="shared" si="1"/>
        <v>-10.335678407079</v>
      </c>
      <c r="N9">
        <f t="shared" si="2"/>
        <v>10.335678407079</v>
      </c>
      <c r="O9" t="e">
        <f t="shared" si="3"/>
        <v>#VALUE!</v>
      </c>
      <c r="P9" t="e">
        <f t="shared" si="4"/>
        <v>#DIV/0!</v>
      </c>
      <c r="R9">
        <f t="shared" si="5"/>
        <v>-1</v>
      </c>
    </row>
    <row r="10" spans="1:23" x14ac:dyDescent="0.2">
      <c r="A10" t="s">
        <v>36</v>
      </c>
      <c r="L10">
        <f t="shared" si="0"/>
        <v>10.335678407079</v>
      </c>
      <c r="M10">
        <f t="shared" si="1"/>
        <v>-10.335678407079</v>
      </c>
      <c r="N10">
        <f t="shared" si="2"/>
        <v>10.335678407079</v>
      </c>
      <c r="O10" t="e">
        <f t="shared" si="3"/>
        <v>#VALUE!</v>
      </c>
      <c r="P10" t="e">
        <f t="shared" si="4"/>
        <v>#DIV/0!</v>
      </c>
      <c r="R10">
        <f t="shared" si="5"/>
        <v>-1</v>
      </c>
    </row>
    <row r="11" spans="1:23" x14ac:dyDescent="0.2">
      <c r="A11" t="s">
        <v>37</v>
      </c>
      <c r="L11">
        <f t="shared" si="0"/>
        <v>10.335678407079</v>
      </c>
      <c r="M11">
        <f t="shared" si="1"/>
        <v>-10.335678407079</v>
      </c>
      <c r="N11">
        <f t="shared" si="2"/>
        <v>10.335678407079</v>
      </c>
      <c r="O11" t="e">
        <f t="shared" si="3"/>
        <v>#VALUE!</v>
      </c>
      <c r="P11" t="e">
        <f t="shared" si="4"/>
        <v>#DIV/0!</v>
      </c>
      <c r="R11">
        <f t="shared" si="5"/>
        <v>-1</v>
      </c>
    </row>
    <row r="12" spans="1:23" x14ac:dyDescent="0.2">
      <c r="A12" t="s">
        <v>38</v>
      </c>
      <c r="L12">
        <f t="shared" si="0"/>
        <v>10.335678407079</v>
      </c>
      <c r="M12">
        <f t="shared" si="1"/>
        <v>-10.335678407079</v>
      </c>
      <c r="N12">
        <f t="shared" si="2"/>
        <v>10.335678407079</v>
      </c>
      <c r="O12" t="e">
        <f t="shared" si="3"/>
        <v>#VALUE!</v>
      </c>
      <c r="P12" t="e">
        <f t="shared" si="4"/>
        <v>#DIV/0!</v>
      </c>
      <c r="R12">
        <f t="shared" si="5"/>
        <v>-1</v>
      </c>
    </row>
    <row r="13" spans="1:23" x14ac:dyDescent="0.2">
      <c r="A13" t="s">
        <v>39</v>
      </c>
      <c r="L13">
        <f t="shared" si="0"/>
        <v>10.335678407079</v>
      </c>
      <c r="M13">
        <f t="shared" si="1"/>
        <v>-10.335678407079</v>
      </c>
      <c r="N13">
        <f t="shared" si="2"/>
        <v>10.335678407079</v>
      </c>
      <c r="O13" t="e">
        <f t="shared" si="3"/>
        <v>#VALUE!</v>
      </c>
      <c r="P13" t="e">
        <f t="shared" si="4"/>
        <v>#DIV/0!</v>
      </c>
      <c r="R13">
        <f t="shared" si="5"/>
        <v>-1</v>
      </c>
    </row>
    <row r="14" spans="1:23" x14ac:dyDescent="0.2">
      <c r="A14" t="s">
        <v>40</v>
      </c>
      <c r="L14">
        <f t="shared" si="0"/>
        <v>10.335678407079</v>
      </c>
      <c r="M14">
        <f t="shared" si="1"/>
        <v>-10.335678407079</v>
      </c>
      <c r="N14">
        <f t="shared" si="2"/>
        <v>10.335678407079</v>
      </c>
      <c r="O14" t="e">
        <f t="shared" si="3"/>
        <v>#VALUE!</v>
      </c>
      <c r="P14" t="e">
        <f t="shared" si="4"/>
        <v>#DIV/0!</v>
      </c>
      <c r="R14">
        <f t="shared" si="5"/>
        <v>-1</v>
      </c>
    </row>
    <row r="15" spans="1:23" x14ac:dyDescent="0.2">
      <c r="A15" t="s">
        <v>41</v>
      </c>
      <c r="L15">
        <f t="shared" si="0"/>
        <v>10.335678407079</v>
      </c>
      <c r="M15">
        <f t="shared" si="1"/>
        <v>-10.335678407079</v>
      </c>
      <c r="N15">
        <f t="shared" si="2"/>
        <v>10.335678407079</v>
      </c>
      <c r="O15" t="e">
        <f t="shared" si="3"/>
        <v>#VALUE!</v>
      </c>
      <c r="P15" t="e">
        <f t="shared" si="4"/>
        <v>#DIV/0!</v>
      </c>
      <c r="R15">
        <f t="shared" si="5"/>
        <v>-1</v>
      </c>
    </row>
    <row r="16" spans="1:23" x14ac:dyDescent="0.2">
      <c r="A16" t="s">
        <v>42</v>
      </c>
      <c r="L16">
        <f t="shared" si="0"/>
        <v>10.335678407079</v>
      </c>
      <c r="M16">
        <f t="shared" si="1"/>
        <v>-10.335678407079</v>
      </c>
      <c r="N16">
        <f t="shared" si="2"/>
        <v>10.335678407079</v>
      </c>
      <c r="O16" t="e">
        <f t="shared" si="3"/>
        <v>#VALUE!</v>
      </c>
      <c r="P16" t="e">
        <f t="shared" si="4"/>
        <v>#DIV/0!</v>
      </c>
      <c r="R16">
        <f t="shared" si="5"/>
        <v>-1</v>
      </c>
    </row>
    <row r="17" spans="1:18" x14ac:dyDescent="0.2">
      <c r="A17" t="s">
        <v>43</v>
      </c>
      <c r="L17">
        <f t="shared" si="0"/>
        <v>10.335678407079</v>
      </c>
      <c r="M17">
        <f t="shared" si="1"/>
        <v>-10.335678407079</v>
      </c>
      <c r="N17">
        <f t="shared" si="2"/>
        <v>10.335678407079</v>
      </c>
      <c r="O17" t="e">
        <f t="shared" si="3"/>
        <v>#VALUE!</v>
      </c>
      <c r="P17" t="e">
        <f t="shared" si="4"/>
        <v>#DIV/0!</v>
      </c>
      <c r="R17">
        <f t="shared" si="5"/>
        <v>-1</v>
      </c>
    </row>
    <row r="18" spans="1:18" x14ac:dyDescent="0.2">
      <c r="A18" t="s">
        <v>44</v>
      </c>
      <c r="L18">
        <f t="shared" si="0"/>
        <v>10.335678407079</v>
      </c>
      <c r="M18">
        <f t="shared" si="1"/>
        <v>-10.335678407079</v>
      </c>
      <c r="N18">
        <f t="shared" si="2"/>
        <v>10.335678407079</v>
      </c>
      <c r="O18" t="e">
        <f t="shared" si="3"/>
        <v>#VALUE!</v>
      </c>
      <c r="P18" t="e">
        <f t="shared" si="4"/>
        <v>#DIV/0!</v>
      </c>
      <c r="R18">
        <f t="shared" si="5"/>
        <v>-1</v>
      </c>
    </row>
    <row r="19" spans="1:18" x14ac:dyDescent="0.2">
      <c r="A19" t="s">
        <v>45</v>
      </c>
      <c r="L19">
        <f t="shared" si="0"/>
        <v>10.335678407079</v>
      </c>
      <c r="M19">
        <f t="shared" si="1"/>
        <v>-10.335678407079</v>
      </c>
      <c r="N19">
        <f t="shared" si="2"/>
        <v>10.335678407079</v>
      </c>
      <c r="O19" t="e">
        <f t="shared" si="3"/>
        <v>#VALUE!</v>
      </c>
      <c r="P19" t="e">
        <f t="shared" si="4"/>
        <v>#DIV/0!</v>
      </c>
      <c r="R19">
        <f t="shared" si="5"/>
        <v>-1</v>
      </c>
    </row>
    <row r="20" spans="1:18" x14ac:dyDescent="0.2">
      <c r="A20" t="s">
        <v>46</v>
      </c>
      <c r="L20">
        <f t="shared" si="0"/>
        <v>10.335678407079</v>
      </c>
      <c r="M20">
        <f t="shared" si="1"/>
        <v>-10.335678407079</v>
      </c>
      <c r="N20">
        <f t="shared" si="2"/>
        <v>10.335678407079</v>
      </c>
      <c r="O20" t="e">
        <f t="shared" si="3"/>
        <v>#VALUE!</v>
      </c>
      <c r="P20" t="e">
        <f t="shared" si="4"/>
        <v>#DIV/0!</v>
      </c>
      <c r="R20">
        <f t="shared" si="5"/>
        <v>-1</v>
      </c>
    </row>
    <row r="21" spans="1:18" x14ac:dyDescent="0.2">
      <c r="A21" t="s">
        <v>47</v>
      </c>
      <c r="L21">
        <f t="shared" si="0"/>
        <v>10.335678407079</v>
      </c>
      <c r="M21">
        <f t="shared" si="1"/>
        <v>-10.335678407079</v>
      </c>
      <c r="N21">
        <f t="shared" si="2"/>
        <v>10.335678407079</v>
      </c>
      <c r="O21" t="e">
        <f t="shared" si="3"/>
        <v>#VALUE!</v>
      </c>
      <c r="P21" t="e">
        <f t="shared" si="4"/>
        <v>#DIV/0!</v>
      </c>
      <c r="R21">
        <f t="shared" si="5"/>
        <v>-1</v>
      </c>
    </row>
    <row r="22" spans="1:18" x14ac:dyDescent="0.2">
      <c r="L22">
        <f t="shared" si="0"/>
        <v>10.335678407079</v>
      </c>
      <c r="M22">
        <f t="shared" si="1"/>
        <v>-10.335678407079</v>
      </c>
      <c r="N22">
        <f t="shared" si="2"/>
        <v>10.335678407079</v>
      </c>
      <c r="O22" t="e">
        <f t="shared" si="3"/>
        <v>#VALUE!</v>
      </c>
      <c r="P22" t="e">
        <f t="shared" si="4"/>
        <v>#DIV/0!</v>
      </c>
      <c r="R22">
        <f t="shared" si="5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Legend</vt:lpstr>
      <vt:lpstr>Function 1</vt:lpstr>
      <vt:lpstr>Function 2</vt:lpstr>
      <vt:lpstr>Function 3</vt:lpstr>
      <vt:lpstr>Function 4</vt:lpstr>
      <vt:lpstr>Function 5</vt:lpstr>
      <vt:lpstr>Function 6</vt:lpstr>
      <vt:lpstr>Function 7</vt:lpstr>
      <vt:lpstr>Function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Amrite</dc:creator>
  <cp:lastModifiedBy>Ajay Amrite</cp:lastModifiedBy>
  <dcterms:created xsi:type="dcterms:W3CDTF">2025-12-24T11:20:58Z</dcterms:created>
  <dcterms:modified xsi:type="dcterms:W3CDTF">2025-12-27T15:29:52Z</dcterms:modified>
</cp:coreProperties>
</file>